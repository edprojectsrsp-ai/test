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9425" windowHeight="11025"/>
  </bookViews>
  <sheets>
    <sheet name="MOS Capex Format" sheetId="1" r:id="rId1"/>
    <sheet name="Format Projects-PMC" sheetId="2" r:id="rId2"/>
    <sheet name="Details of Ongoing Projects" sheetId="3" r:id="rId3"/>
  </sheets>
  <externalReferences>
    <externalReference r:id="rId4"/>
  </externalReferences>
  <definedNames>
    <definedName name="_xlnm._FilterDatabase" localSheetId="0" hidden="1">'MOS Capex Format'!$A$3:$L$51</definedName>
    <definedName name="_xlnm.Print_Area" localSheetId="0">'MOS Capex Format'!$A$1:$J$55</definedName>
  </definedNames>
  <calcPr calcId="124519"/>
</workbook>
</file>

<file path=xl/calcChain.xml><?xml version="1.0" encoding="utf-8"?>
<calcChain xmlns="http://schemas.openxmlformats.org/spreadsheetml/2006/main">
  <c r="G45" i="1"/>
  <c r="F45"/>
  <c r="E45"/>
  <c r="H45" s="1"/>
  <c r="G43"/>
  <c r="F43"/>
  <c r="E43"/>
  <c r="H43" s="1"/>
  <c r="D42"/>
  <c r="H40" l="1"/>
  <c r="G26"/>
  <c r="G13" i="2"/>
  <c r="F13"/>
  <c r="E13"/>
  <c r="D13"/>
  <c r="G12"/>
  <c r="F12"/>
  <c r="E12"/>
  <c r="D12"/>
  <c r="C12"/>
  <c r="C13"/>
  <c r="G11"/>
  <c r="F11"/>
  <c r="E11"/>
  <c r="D11"/>
  <c r="C11"/>
  <c r="G10"/>
  <c r="F10"/>
  <c r="E10"/>
  <c r="D10"/>
  <c r="G9"/>
  <c r="F9"/>
  <c r="E9"/>
  <c r="D9"/>
  <c r="C10"/>
  <c r="C9"/>
  <c r="G8"/>
  <c r="F8"/>
  <c r="E8"/>
  <c r="D8"/>
  <c r="C8"/>
  <c r="C9" i="1"/>
  <c r="D9"/>
  <c r="E9"/>
  <c r="F9"/>
  <c r="G9"/>
  <c r="H32"/>
  <c r="H20"/>
  <c r="H19"/>
  <c r="D7" i="3" l="1"/>
  <c r="F6" i="2"/>
  <c r="E6"/>
  <c r="G6"/>
  <c r="D6"/>
  <c r="C6"/>
  <c r="H47" i="1"/>
  <c r="H41"/>
  <c r="H39"/>
  <c r="H37"/>
  <c r="H36"/>
  <c r="H35"/>
  <c r="H34"/>
  <c r="H33"/>
  <c r="H31"/>
  <c r="H30"/>
  <c r="H29"/>
  <c r="H28"/>
  <c r="H27"/>
  <c r="H17"/>
  <c r="H16"/>
  <c r="H15"/>
  <c r="H12"/>
  <c r="H10" i="2" s="1"/>
  <c r="H11" i="1"/>
  <c r="H9" i="2" s="1"/>
  <c r="H10" i="1"/>
  <c r="H8" i="2" s="1"/>
  <c r="H8" i="1"/>
  <c r="H7"/>
  <c r="H6"/>
  <c r="H11" i="2" s="1"/>
  <c r="H13" l="1"/>
  <c r="H12"/>
  <c r="G42" i="1"/>
  <c r="F42"/>
  <c r="E42"/>
  <c r="C38"/>
  <c r="E38"/>
  <c r="D38"/>
  <c r="H4" i="2"/>
  <c r="D3" i="3" s="1"/>
  <c r="H50" i="1"/>
  <c r="C42"/>
  <c r="H26"/>
  <c r="F26"/>
  <c r="G25"/>
  <c r="F25"/>
  <c r="E25"/>
  <c r="D25"/>
  <c r="C25"/>
  <c r="G24"/>
  <c r="F24"/>
  <c r="E24"/>
  <c r="D24"/>
  <c r="C24"/>
  <c r="G23"/>
  <c r="F23"/>
  <c r="E23"/>
  <c r="D23"/>
  <c r="C23"/>
  <c r="G18"/>
  <c r="F18"/>
  <c r="E18"/>
  <c r="D18"/>
  <c r="C18"/>
  <c r="G14"/>
  <c r="F14"/>
  <c r="E14"/>
  <c r="D14"/>
  <c r="C14"/>
  <c r="G5"/>
  <c r="F5"/>
  <c r="E5"/>
  <c r="D5"/>
  <c r="C5"/>
  <c r="H6" i="2" l="1"/>
  <c r="E48" i="1"/>
  <c r="E5" i="2" s="1"/>
  <c r="E7" s="1"/>
  <c r="E18" s="1"/>
  <c r="D48" i="1"/>
  <c r="D5" i="2" s="1"/>
  <c r="C48" i="1"/>
  <c r="C5" i="2" s="1"/>
  <c r="G48" i="1"/>
  <c r="G5" i="2" s="1"/>
  <c r="F4" i="1"/>
  <c r="F38"/>
  <c r="F48" s="1"/>
  <c r="F5" i="2" s="1"/>
  <c r="G38" i="1"/>
  <c r="H9"/>
  <c r="H14"/>
  <c r="E4"/>
  <c r="H42"/>
  <c r="G4"/>
  <c r="E13"/>
  <c r="D13"/>
  <c r="C13"/>
  <c r="G13"/>
  <c r="F13"/>
  <c r="H18"/>
  <c r="D22"/>
  <c r="H24"/>
  <c r="G22"/>
  <c r="H25"/>
  <c r="D4"/>
  <c r="F22"/>
  <c r="C4"/>
  <c r="C22"/>
  <c r="H5"/>
  <c r="E22"/>
  <c r="H23"/>
  <c r="E51" l="1"/>
  <c r="G7" i="2"/>
  <c r="C51" i="1"/>
  <c r="C7" i="2"/>
  <c r="C18" s="1"/>
  <c r="D51" i="1"/>
  <c r="D7" i="2"/>
  <c r="D18" s="1"/>
  <c r="F7"/>
  <c r="G51" i="1"/>
  <c r="F51"/>
  <c r="H38"/>
  <c r="H48" s="1"/>
  <c r="H5" i="2" s="1"/>
  <c r="H13" i="1"/>
  <c r="H4"/>
  <c r="H22"/>
  <c r="H7" i="2" l="1"/>
  <c r="H51" i="1"/>
  <c r="H16" i="2"/>
  <c r="G16"/>
  <c r="H15"/>
  <c r="G15"/>
  <c r="F16"/>
  <c r="F15"/>
  <c r="C9" i="3"/>
  <c r="C10"/>
  <c r="F18" i="2" l="1"/>
  <c r="H18"/>
  <c r="G18"/>
  <c r="H10" i="3"/>
  <c r="H9"/>
  <c r="C8"/>
  <c r="C7" s="1"/>
  <c r="H8" l="1"/>
  <c r="H7"/>
</calcChain>
</file>

<file path=xl/sharedStrings.xml><?xml version="1.0" encoding="utf-8"?>
<sst xmlns="http://schemas.openxmlformats.org/spreadsheetml/2006/main" count="99" uniqueCount="78">
  <si>
    <t>Overview of RSP CAPEX projects</t>
  </si>
  <si>
    <t>Report Month</t>
  </si>
  <si>
    <t>S.N.</t>
  </si>
  <si>
    <t>Category</t>
  </si>
  <si>
    <t>Total  no. of Projects</t>
  </si>
  <si>
    <t>Total cost of Projects</t>
  </si>
  <si>
    <t xml:space="preserve">Total Expenditure
(Rs cr.)
</t>
  </si>
  <si>
    <t xml:space="preserve">Progress of Projects in column 3
No. of projects:
i.On time
ii.Delayed up to 01 year
iii.Delayed more than 01 year (10) </t>
  </si>
  <si>
    <t>Being implemented from last FY</t>
  </si>
  <si>
    <t>Corporate AMR</t>
  </si>
  <si>
    <t>Ontime</t>
  </si>
  <si>
    <t>Delay&lt;1</t>
  </si>
  <si>
    <t>Delay&gt;1</t>
  </si>
  <si>
    <t>Plant AMR(&lt;30 Cr.)</t>
  </si>
  <si>
    <t xml:space="preserve">Total Ongoing projects </t>
  </si>
  <si>
    <t xml:space="preserve">Milestone payments  in  completed projects incl. MEP  </t>
  </si>
  <si>
    <t>MEP</t>
  </si>
  <si>
    <t>Plant AMR(&lt;30 Cr.)-Completed/EDC</t>
  </si>
  <si>
    <t>Plant AMR(&lt;30 Cr.)-old schemes</t>
  </si>
  <si>
    <t>Plant AMR(&lt;30 Cr.)-new  schemes</t>
  </si>
  <si>
    <t>3a</t>
  </si>
  <si>
    <t>New Projects under tendering/ final approval and contract award</t>
  </si>
  <si>
    <t>Corporate AMR- under final approval and contract award</t>
  </si>
  <si>
    <t>3b</t>
  </si>
  <si>
    <t>New Projects under Stage-I approval</t>
  </si>
  <si>
    <t>Others-CET Consultancy debit, etc</t>
  </si>
  <si>
    <t>Total New projects under consideration (3a+3b)</t>
  </si>
  <si>
    <t>3a+3b</t>
  </si>
  <si>
    <t xml:space="preserve">Spares &amp; Capital Repairs </t>
  </si>
  <si>
    <t>Other schemes/ JVs</t>
  </si>
  <si>
    <t>Total</t>
  </si>
  <si>
    <t>Note: COB#7  - Considered as 3 Projects in count ( PKG2- Battery proper , PKG3- CDCP, PKG4- BPP)</t>
  </si>
  <si>
    <t>TS#1</t>
  </si>
  <si>
    <t>Power enabling package for oxygen</t>
  </si>
  <si>
    <t>Timeline Analysis of Ongoing Projects</t>
  </si>
  <si>
    <t>No of Projects</t>
  </si>
  <si>
    <t>Total Cost (Rs Cr)</t>
  </si>
  <si>
    <t xml:space="preserve">Total Expd till </t>
  </si>
  <si>
    <t>CAPEX target</t>
  </si>
  <si>
    <t>On time</t>
  </si>
  <si>
    <t>Delayed upto 1 year</t>
  </si>
  <si>
    <t>Delayed &gt; 1 year</t>
  </si>
  <si>
    <t>Other Payments related to Projects/CAPEXs</t>
  </si>
  <si>
    <t>Milestone payments in completed projects</t>
  </si>
  <si>
    <t>Spares /Capital repair</t>
  </si>
  <si>
    <t>Other schemes/ JV proj</t>
  </si>
  <si>
    <t>Format for Projects-PMC</t>
  </si>
  <si>
    <t>&gt; 30 Cr </t>
  </si>
  <si>
    <t>&lt; 30 Cr </t>
  </si>
  <si>
    <t>Number of  Total  Projects</t>
  </si>
  <si>
    <t>On Time</t>
  </si>
  <si>
    <t>Delayed  by less than year </t>
  </si>
  <si>
    <t>Delayed  by more than year </t>
  </si>
  <si>
    <t>Projects in BOO/COM/MDO mode (Out of Total Projects)</t>
  </si>
  <si>
    <t>TOTAL</t>
  </si>
  <si>
    <t>COB #2</t>
  </si>
  <si>
    <t>NHSM</t>
  </si>
  <si>
    <t>Coal Transportation</t>
  </si>
  <si>
    <t>Dust Extraction for BF#1</t>
  </si>
  <si>
    <t>Corporate AMR-under tendering</t>
  </si>
  <si>
    <t>Details of On-going Projects As on</t>
  </si>
  <si>
    <t>30 MLD STP for township</t>
  </si>
  <si>
    <t>Others (COB#4)</t>
  </si>
  <si>
    <t>Dust Extraction for SP-III</t>
  </si>
  <si>
    <t>Caster-IV</t>
  </si>
  <si>
    <t>Implementation started during FY25-26</t>
  </si>
  <si>
    <t>New projects (yet to be awarded)</t>
  </si>
  <si>
    <t>Ongoing Projects</t>
  </si>
  <si>
    <t>Total Projects</t>
  </si>
  <si>
    <t>Timeline of Ongoing Projects(&lt;50 crore)</t>
  </si>
  <si>
    <t>Timeline of Ongoing Projects(&gt;50 crore)</t>
  </si>
  <si>
    <t>Expenditure incurred up to FY 2025-26</t>
  </si>
  <si>
    <t>CAPEX for  
FY 26-27
(BE)</t>
  </si>
  <si>
    <t>Expenditure in FY26-27</t>
  </si>
  <si>
    <t xml:space="preserve">Financial progress in FY26-27 </t>
  </si>
  <si>
    <t xml:space="preserve">Expd in FY26-27 </t>
  </si>
  <si>
    <t xml:space="preserve">Provision of Mixed Gas Firing in oil fired kilns at CP II </t>
  </si>
  <si>
    <t>Upgradation of Electrics for 2 nos. Hot Metal Handling Cranes at SMS-II</t>
  </si>
</sst>
</file>

<file path=xl/styles.xml><?xml version="1.0" encoding="utf-8"?>
<styleSheet xmlns="http://schemas.openxmlformats.org/spreadsheetml/2006/main">
  <numFmts count="3">
    <numFmt numFmtId="43" formatCode="_ * #,##0.00_ ;_ * \-#,##0.00_ ;_ * &quot;-&quot;??_ ;_ @_ "/>
    <numFmt numFmtId="164" formatCode="0.000"/>
    <numFmt numFmtId="165" formatCode="0.0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32"/>
      <color rgb="FF6D2077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14"/>
      <color theme="1"/>
      <name val="Bodoni"/>
    </font>
    <font>
      <b/>
      <sz val="13"/>
      <name val="Calibri"/>
      <family val="2"/>
    </font>
    <font>
      <sz val="13"/>
      <name val="Calibri"/>
      <family val="2"/>
    </font>
    <font>
      <b/>
      <sz val="13"/>
      <color theme="1"/>
      <name val="Calibri"/>
      <family val="2"/>
    </font>
    <font>
      <sz val="13"/>
      <color theme="1"/>
      <name val="Calibri"/>
      <family val="2"/>
    </font>
    <font>
      <b/>
      <sz val="20"/>
      <name val="Calibri"/>
      <family val="2"/>
      <scheme val="minor"/>
    </font>
    <font>
      <sz val="13"/>
      <color rgb="FFFF0000"/>
      <name val="Calibri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u/>
      <sz val="14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4"/>
      <name val="Calibri"/>
      <family val="2"/>
    </font>
    <font>
      <sz val="13"/>
      <name val="Cambria"/>
      <family val="1"/>
      <scheme val="major"/>
    </font>
  </fonts>
  <fills count="8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0"/>
        <bgColor indexed="64"/>
      </patternFill>
    </fill>
    <fill>
      <patternFill patternType="solid">
        <fgColor rgb="FF92CDDC"/>
        <bgColor rgb="FF92CDDC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0" fontId="2" fillId="2" borderId="1" applyNumberFormat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5" fillId="0" borderId="0"/>
    <xf numFmtId="0" fontId="1" fillId="0" borderId="0"/>
  </cellStyleXfs>
  <cellXfs count="129">
    <xf numFmtId="0" fontId="0" fillId="0" borderId="0" xfId="0"/>
    <xf numFmtId="0" fontId="4" fillId="3" borderId="0" xfId="0" applyFont="1" applyFill="1" applyBorder="1" applyProtection="1">
      <protection hidden="1"/>
    </xf>
    <xf numFmtId="0" fontId="5" fillId="0" borderId="4" xfId="0" applyFont="1" applyBorder="1" applyAlignment="1" applyProtection="1">
      <alignment horizontal="center" readingOrder="1"/>
      <protection hidden="1"/>
    </xf>
    <xf numFmtId="0" fontId="6" fillId="0" borderId="4" xfId="0" applyFont="1" applyFill="1" applyBorder="1" applyAlignment="1" applyProtection="1">
      <alignment horizontal="center" readingOrder="1"/>
      <protection hidden="1"/>
    </xf>
    <xf numFmtId="0" fontId="5" fillId="0" borderId="5" xfId="0" applyFont="1" applyBorder="1" applyAlignment="1" applyProtection="1">
      <alignment horizontal="center" vertical="center" readingOrder="1"/>
      <protection hidden="1"/>
    </xf>
    <xf numFmtId="17" fontId="7" fillId="4" borderId="4" xfId="0" applyNumberFormat="1" applyFont="1" applyFill="1" applyBorder="1" applyAlignment="1" applyProtection="1">
      <alignment horizontal="center"/>
      <protection hidden="1"/>
    </xf>
    <xf numFmtId="0" fontId="4" fillId="0" borderId="0" xfId="0" applyFont="1" applyFill="1" applyBorder="1" applyProtection="1">
      <protection hidden="1"/>
    </xf>
    <xf numFmtId="0" fontId="8" fillId="3" borderId="4" xfId="0" applyFont="1" applyFill="1" applyBorder="1" applyAlignment="1" applyProtection="1">
      <alignment horizontal="center" vertical="center" wrapText="1" readingOrder="1"/>
      <protection hidden="1"/>
    </xf>
    <xf numFmtId="0" fontId="8" fillId="0" borderId="4" xfId="0" applyFont="1" applyFill="1" applyBorder="1" applyAlignment="1" applyProtection="1">
      <alignment horizontal="center" vertical="center" wrapText="1" readingOrder="1"/>
      <protection hidden="1"/>
    </xf>
    <xf numFmtId="0" fontId="8" fillId="3" borderId="4" xfId="0" applyFont="1" applyFill="1" applyBorder="1" applyAlignment="1" applyProtection="1">
      <alignment horizontal="left" vertical="center" wrapText="1" readingOrder="1"/>
      <protection hidden="1"/>
    </xf>
    <xf numFmtId="0" fontId="4" fillId="3" borderId="0" xfId="0" applyFont="1" applyFill="1" applyBorder="1" applyAlignment="1" applyProtection="1">
      <alignment vertical="center"/>
      <protection hidden="1"/>
    </xf>
    <xf numFmtId="0" fontId="4" fillId="0" borderId="0" xfId="0" applyFont="1" applyFill="1" applyBorder="1" applyAlignment="1" applyProtection="1">
      <alignment vertical="center"/>
      <protection hidden="1"/>
    </xf>
    <xf numFmtId="0" fontId="4" fillId="3" borderId="0" xfId="0" applyFont="1" applyFill="1" applyBorder="1" applyAlignment="1" applyProtection="1">
      <alignment horizontal="center" vertical="center" readingOrder="1"/>
      <protection hidden="1"/>
    </xf>
    <xf numFmtId="0" fontId="4" fillId="0" borderId="0" xfId="0" applyFont="1" applyFill="1" applyBorder="1" applyAlignment="1" applyProtection="1">
      <alignment horizontal="center" vertical="center" readingOrder="1"/>
      <protection hidden="1"/>
    </xf>
    <xf numFmtId="0" fontId="9" fillId="3" borderId="6" xfId="0" applyFont="1" applyFill="1" applyBorder="1" applyAlignment="1" applyProtection="1">
      <alignment vertical="center" wrapText="1" readingOrder="1"/>
      <protection hidden="1"/>
    </xf>
    <xf numFmtId="0" fontId="8" fillId="5" borderId="4" xfId="0" applyFont="1" applyFill="1" applyBorder="1" applyAlignment="1" applyProtection="1">
      <alignment horizontal="left" vertical="center" wrapText="1" readingOrder="1"/>
      <protection hidden="1"/>
    </xf>
    <xf numFmtId="1" fontId="8" fillId="5" borderId="4" xfId="0" applyNumberFormat="1" applyFont="1" applyFill="1" applyBorder="1" applyAlignment="1" applyProtection="1">
      <alignment horizontal="center" vertical="center" wrapText="1"/>
      <protection hidden="1"/>
    </xf>
    <xf numFmtId="2" fontId="8" fillId="5" borderId="4" xfId="0" applyNumberFormat="1" applyFont="1" applyFill="1" applyBorder="1" applyAlignment="1" applyProtection="1">
      <alignment horizontal="center" vertical="center" wrapText="1"/>
      <protection hidden="1"/>
    </xf>
    <xf numFmtId="0" fontId="8" fillId="5" borderId="4" xfId="0" applyFont="1" applyFill="1" applyBorder="1" applyAlignment="1" applyProtection="1">
      <alignment vertical="center" wrapText="1" readingOrder="1"/>
      <protection hidden="1"/>
    </xf>
    <xf numFmtId="0" fontId="9" fillId="3" borderId="7" xfId="0" applyFont="1" applyFill="1" applyBorder="1" applyAlignment="1" applyProtection="1">
      <alignment vertical="center" wrapText="1" readingOrder="1"/>
      <protection hidden="1"/>
    </xf>
    <xf numFmtId="1" fontId="8" fillId="3" borderId="4" xfId="0" applyNumberFormat="1" applyFont="1" applyFill="1" applyBorder="1" applyAlignment="1" applyProtection="1">
      <alignment horizontal="center" vertical="center" wrapText="1"/>
      <protection hidden="1"/>
    </xf>
    <xf numFmtId="2" fontId="8" fillId="3" borderId="4" xfId="0" applyNumberFormat="1" applyFont="1" applyFill="1" applyBorder="1" applyAlignment="1" applyProtection="1">
      <alignment horizontal="center" vertical="center" wrapText="1"/>
      <protection hidden="1"/>
    </xf>
    <xf numFmtId="0" fontId="9" fillId="3" borderId="4" xfId="0" applyFont="1" applyFill="1" applyBorder="1" applyAlignment="1" applyProtection="1">
      <alignment horizontal="right" vertical="center" wrapText="1" readingOrder="1"/>
      <protection hidden="1"/>
    </xf>
    <xf numFmtId="1" fontId="9" fillId="3" borderId="4" xfId="0" applyNumberFormat="1" applyFont="1" applyFill="1" applyBorder="1" applyAlignment="1" applyProtection="1">
      <alignment horizontal="center" vertical="center" wrapText="1"/>
      <protection hidden="1"/>
    </xf>
    <xf numFmtId="2" fontId="9" fillId="3" borderId="4" xfId="0" applyNumberFormat="1" applyFont="1" applyFill="1" applyBorder="1" applyAlignment="1" applyProtection="1">
      <alignment horizontal="center" vertical="center" wrapText="1"/>
      <protection hidden="1"/>
    </xf>
    <xf numFmtId="2" fontId="9" fillId="5" borderId="4" xfId="0" applyNumberFormat="1" applyFont="1" applyFill="1" applyBorder="1" applyAlignment="1" applyProtection="1">
      <alignment horizontal="center" vertical="center" wrapText="1"/>
      <protection hidden="1"/>
    </xf>
    <xf numFmtId="0" fontId="9" fillId="3" borderId="4" xfId="0" applyFont="1" applyFill="1" applyBorder="1" applyAlignment="1" applyProtection="1">
      <alignment horizontal="left" vertical="center" wrapText="1" readingOrder="1"/>
      <protection hidden="1"/>
    </xf>
    <xf numFmtId="0" fontId="10" fillId="3" borderId="4" xfId="0" applyFont="1" applyFill="1" applyBorder="1" applyAlignment="1" applyProtection="1">
      <alignment horizontal="left" vertical="center" wrapText="1" readingOrder="1"/>
      <protection hidden="1"/>
    </xf>
    <xf numFmtId="0" fontId="11" fillId="3" borderId="4" xfId="0" applyFont="1" applyFill="1" applyBorder="1" applyAlignment="1" applyProtection="1">
      <alignment horizontal="left" vertical="center" wrapText="1" readingOrder="1"/>
      <protection hidden="1"/>
    </xf>
    <xf numFmtId="2" fontId="4" fillId="0" borderId="0" xfId="0" applyNumberFormat="1" applyFont="1" applyFill="1" applyBorder="1" applyProtection="1">
      <protection hidden="1"/>
    </xf>
    <xf numFmtId="164" fontId="4" fillId="0" borderId="0" xfId="0" applyNumberFormat="1" applyFont="1" applyFill="1" applyBorder="1" applyProtection="1">
      <protection hidden="1"/>
    </xf>
    <xf numFmtId="2" fontId="10" fillId="5" borderId="4" xfId="0" applyNumberFormat="1" applyFont="1" applyFill="1" applyBorder="1" applyAlignment="1" applyProtection="1">
      <alignment horizontal="center" vertical="center" wrapText="1"/>
      <protection hidden="1"/>
    </xf>
    <xf numFmtId="0" fontId="12" fillId="0" borderId="0" xfId="0" applyFont="1" applyFill="1" applyBorder="1" applyProtection="1">
      <protection hidden="1"/>
    </xf>
    <xf numFmtId="2" fontId="11" fillId="5" borderId="4" xfId="0" applyNumberFormat="1" applyFont="1" applyFill="1" applyBorder="1" applyAlignment="1" applyProtection="1">
      <alignment horizontal="center" vertical="center" wrapText="1"/>
      <protection hidden="1"/>
    </xf>
    <xf numFmtId="1" fontId="11" fillId="3" borderId="4" xfId="0" applyNumberFormat="1" applyFont="1" applyFill="1" applyBorder="1" applyAlignment="1" applyProtection="1">
      <alignment horizontal="center" vertical="center" wrapText="1"/>
      <protection hidden="1"/>
    </xf>
    <xf numFmtId="0" fontId="9" fillId="3" borderId="8" xfId="0" applyFont="1" applyFill="1" applyBorder="1" applyAlignment="1" applyProtection="1">
      <alignment vertical="center" wrapText="1" readingOrder="1"/>
      <protection hidden="1"/>
    </xf>
    <xf numFmtId="0" fontId="8" fillId="0" borderId="4" xfId="0" applyFont="1" applyFill="1" applyBorder="1" applyAlignment="1" applyProtection="1">
      <alignment horizontal="right" vertical="center" wrapText="1" readingOrder="1"/>
      <protection hidden="1"/>
    </xf>
    <xf numFmtId="1" fontId="8" fillId="0" borderId="4" xfId="0" applyNumberFormat="1" applyFont="1" applyFill="1" applyBorder="1" applyAlignment="1" applyProtection="1">
      <alignment horizontal="center" vertical="center" wrapText="1"/>
      <protection hidden="1"/>
    </xf>
    <xf numFmtId="2" fontId="8" fillId="0" borderId="4" xfId="0" applyNumberFormat="1" applyFont="1" applyFill="1" applyBorder="1" applyAlignment="1" applyProtection="1">
      <alignment horizontal="center" vertical="center" wrapText="1"/>
      <protection hidden="1"/>
    </xf>
    <xf numFmtId="0" fontId="8" fillId="0" borderId="4" xfId="0" applyFont="1" applyFill="1" applyBorder="1" applyAlignment="1" applyProtection="1">
      <alignment horizontal="left" vertical="center" wrapText="1" readingOrder="1"/>
      <protection hidden="1"/>
    </xf>
    <xf numFmtId="0" fontId="9" fillId="0" borderId="4" xfId="0" applyFont="1" applyFill="1" applyBorder="1" applyAlignment="1" applyProtection="1">
      <alignment horizontal="left" vertical="center" wrapText="1" readingOrder="1"/>
      <protection hidden="1"/>
    </xf>
    <xf numFmtId="1" fontId="13" fillId="3" borderId="4" xfId="0" applyNumberFormat="1" applyFont="1" applyFill="1" applyBorder="1" applyAlignment="1" applyProtection="1">
      <alignment horizontal="center" vertical="center" wrapText="1"/>
      <protection hidden="1"/>
    </xf>
    <xf numFmtId="2" fontId="13" fillId="3" borderId="4" xfId="0" applyNumberFormat="1" applyFont="1" applyFill="1" applyBorder="1" applyAlignment="1" applyProtection="1">
      <alignment horizontal="center" vertical="center" wrapText="1"/>
      <protection hidden="1"/>
    </xf>
    <xf numFmtId="0" fontId="8" fillId="5" borderId="4" xfId="0" applyFont="1" applyFill="1" applyBorder="1" applyAlignment="1" applyProtection="1">
      <alignment horizontal="center" vertical="center" wrapText="1" readingOrder="1"/>
      <protection hidden="1"/>
    </xf>
    <xf numFmtId="2" fontId="9" fillId="0" borderId="4" xfId="0" applyNumberFormat="1" applyFont="1" applyFill="1" applyBorder="1" applyAlignment="1" applyProtection="1">
      <alignment horizontal="center" vertical="center" wrapText="1"/>
      <protection hidden="1"/>
    </xf>
    <xf numFmtId="1" fontId="9" fillId="0" borderId="4" xfId="0" applyNumberFormat="1" applyFont="1" applyFill="1" applyBorder="1" applyAlignment="1" applyProtection="1">
      <alignment horizontal="center" vertical="center" wrapText="1"/>
      <protection hidden="1"/>
    </xf>
    <xf numFmtId="0" fontId="8" fillId="0" borderId="8" xfId="0" applyFont="1" applyFill="1" applyBorder="1" applyAlignment="1" applyProtection="1">
      <alignment horizontal="center" vertical="center" wrapText="1" readingOrder="1"/>
      <protection hidden="1"/>
    </xf>
    <xf numFmtId="0" fontId="9" fillId="0" borderId="8" xfId="0" applyFont="1" applyFill="1" applyBorder="1" applyAlignment="1" applyProtection="1">
      <alignment vertical="center" wrapText="1" readingOrder="1"/>
      <protection hidden="1"/>
    </xf>
    <xf numFmtId="0" fontId="4" fillId="0" borderId="0" xfId="0" applyFont="1" applyFill="1" applyBorder="1" applyAlignment="1" applyProtection="1">
      <alignment vertical="top" wrapText="1"/>
      <protection hidden="1"/>
    </xf>
    <xf numFmtId="0" fontId="8" fillId="5" borderId="6" xfId="0" applyFont="1" applyFill="1" applyBorder="1" applyAlignment="1" applyProtection="1">
      <alignment horizontal="center" vertical="center" wrapText="1" readingOrder="1"/>
      <protection hidden="1"/>
    </xf>
    <xf numFmtId="2" fontId="8" fillId="5" borderId="4" xfId="0" applyNumberFormat="1" applyFont="1" applyFill="1" applyBorder="1" applyAlignment="1" applyProtection="1">
      <alignment horizontal="left" vertical="center" wrapText="1"/>
      <protection hidden="1"/>
    </xf>
    <xf numFmtId="1" fontId="9" fillId="5" borderId="4" xfId="0" applyNumberFormat="1" applyFont="1" applyFill="1" applyBorder="1" applyAlignment="1" applyProtection="1">
      <alignment horizontal="center" vertical="center" wrapText="1"/>
      <protection hidden="1"/>
    </xf>
    <xf numFmtId="0" fontId="8" fillId="5" borderId="4" xfId="0" applyFont="1" applyFill="1" applyBorder="1" applyAlignment="1" applyProtection="1">
      <alignment horizontal="justify" vertical="center" wrapText="1" readingOrder="1"/>
      <protection hidden="1"/>
    </xf>
    <xf numFmtId="0" fontId="9" fillId="5" borderId="4" xfId="0" applyFont="1" applyFill="1" applyBorder="1" applyAlignment="1" applyProtection="1">
      <alignment horizontal="center" vertical="center" wrapText="1"/>
      <protection hidden="1"/>
    </xf>
    <xf numFmtId="0" fontId="13" fillId="5" borderId="4" xfId="0" applyFont="1" applyFill="1" applyBorder="1" applyAlignment="1" applyProtection="1">
      <alignment horizontal="center" vertical="center" wrapText="1"/>
      <protection hidden="1"/>
    </xf>
    <xf numFmtId="0" fontId="9" fillId="5" borderId="4" xfId="0" applyFont="1" applyFill="1" applyBorder="1" applyAlignment="1" applyProtection="1">
      <alignment horizontal="left" vertical="center" wrapText="1"/>
      <protection hidden="1"/>
    </xf>
    <xf numFmtId="0" fontId="8" fillId="3" borderId="4" xfId="0" applyFont="1" applyFill="1" applyBorder="1" applyAlignment="1" applyProtection="1">
      <alignment vertical="top" wrapText="1"/>
      <protection hidden="1"/>
    </xf>
    <xf numFmtId="2" fontId="4" fillId="3" borderId="0" xfId="0" applyNumberFormat="1" applyFont="1" applyFill="1" applyBorder="1" applyProtection="1">
      <protection hidden="1"/>
    </xf>
    <xf numFmtId="2" fontId="3" fillId="0" borderId="0" xfId="0" applyNumberFormat="1" applyFont="1" applyFill="1" applyBorder="1" applyProtection="1">
      <protection hidden="1"/>
    </xf>
    <xf numFmtId="0" fontId="4" fillId="3" borderId="0" xfId="0" applyFont="1" applyFill="1" applyBorder="1" applyAlignment="1" applyProtection="1">
      <alignment horizontal="left" vertical="center" readingOrder="1"/>
      <protection hidden="1"/>
    </xf>
    <xf numFmtId="0" fontId="14" fillId="3" borderId="0" xfId="0" applyFont="1" applyFill="1" applyBorder="1"/>
    <xf numFmtId="0" fontId="3" fillId="0" borderId="0" xfId="0" applyFont="1" applyFill="1" applyBorder="1" applyProtection="1">
      <protection hidden="1"/>
    </xf>
    <xf numFmtId="1" fontId="4" fillId="3" borderId="0" xfId="0" applyNumberFormat="1" applyFont="1" applyFill="1" applyBorder="1" applyProtection="1">
      <protection hidden="1"/>
    </xf>
    <xf numFmtId="164" fontId="4" fillId="3" borderId="0" xfId="0" applyNumberFormat="1" applyFont="1" applyFill="1" applyBorder="1" applyProtection="1">
      <protection hidden="1"/>
    </xf>
    <xf numFmtId="0" fontId="16" fillId="0" borderId="4" xfId="0" applyFont="1" applyBorder="1" applyAlignment="1">
      <alignment horizontal="center" vertical="center" wrapText="1"/>
    </xf>
    <xf numFmtId="17" fontId="16" fillId="0" borderId="4" xfId="0" applyNumberFormat="1" applyFont="1" applyBorder="1" applyAlignment="1">
      <alignment horizontal="center" vertical="center" wrapText="1"/>
    </xf>
    <xf numFmtId="0" fontId="17" fillId="0" borderId="4" xfId="0" applyFont="1" applyBorder="1" applyAlignment="1">
      <alignment horizontal="justify" vertical="top" wrapText="1"/>
    </xf>
    <xf numFmtId="1" fontId="17" fillId="6" borderId="4" xfId="0" applyNumberFormat="1" applyFont="1" applyFill="1" applyBorder="1" applyAlignment="1">
      <alignment horizontal="center" vertical="center" wrapText="1"/>
    </xf>
    <xf numFmtId="2" fontId="17" fillId="6" borderId="4" xfId="0" applyNumberFormat="1" applyFont="1" applyFill="1" applyBorder="1" applyAlignment="1">
      <alignment horizontal="center" vertical="center" wrapText="1"/>
    </xf>
    <xf numFmtId="0" fontId="17" fillId="0" borderId="4" xfId="0" applyFont="1" applyBorder="1" applyAlignment="1">
      <alignment wrapText="1"/>
    </xf>
    <xf numFmtId="0" fontId="17" fillId="6" borderId="4" xfId="0" applyFont="1" applyFill="1" applyBorder="1" applyAlignment="1">
      <alignment horizontal="center" vertical="top" wrapText="1"/>
    </xf>
    <xf numFmtId="0" fontId="17" fillId="6" borderId="4" xfId="0" applyFont="1" applyFill="1" applyBorder="1" applyAlignment="1">
      <alignment wrapText="1"/>
    </xf>
    <xf numFmtId="0" fontId="17" fillId="0" borderId="4" xfId="0" applyFont="1" applyBorder="1" applyAlignment="1">
      <alignment horizontal="center" vertical="top" wrapText="1"/>
    </xf>
    <xf numFmtId="0" fontId="17" fillId="6" borderId="4" xfId="0" applyFont="1" applyFill="1" applyBorder="1" applyAlignment="1">
      <alignment horizontal="center" wrapText="1"/>
    </xf>
    <xf numFmtId="0" fontId="16" fillId="0" borderId="4" xfId="0" applyFont="1" applyBorder="1" applyAlignment="1">
      <alignment horizontal="justify" vertical="top" wrapText="1"/>
    </xf>
    <xf numFmtId="0" fontId="16" fillId="0" borderId="4" xfId="0" applyFont="1" applyBorder="1" applyAlignment="1">
      <alignment horizontal="center" vertical="top" wrapText="1"/>
    </xf>
    <xf numFmtId="0" fontId="19" fillId="7" borderId="4" xfId="0" applyFont="1" applyFill="1" applyBorder="1" applyAlignment="1">
      <alignment horizontal="center" vertical="center" wrapText="1"/>
    </xf>
    <xf numFmtId="0" fontId="19" fillId="7" borderId="10" xfId="0" applyFont="1" applyFill="1" applyBorder="1" applyAlignment="1">
      <alignment horizontal="center" vertical="center" wrapText="1"/>
    </xf>
    <xf numFmtId="0" fontId="20" fillId="7" borderId="11" xfId="0" applyFont="1" applyFill="1" applyBorder="1" applyAlignment="1">
      <alignment vertical="center" wrapText="1"/>
    </xf>
    <xf numFmtId="0" fontId="20" fillId="7" borderId="12" xfId="0" applyFont="1" applyFill="1" applyBorder="1" applyAlignment="1">
      <alignment horizontal="center" vertical="center" wrapText="1"/>
    </xf>
    <xf numFmtId="0" fontId="20" fillId="3" borderId="13" xfId="0" applyFont="1" applyFill="1" applyBorder="1" applyAlignment="1">
      <alignment vertical="center" wrapText="1"/>
    </xf>
    <xf numFmtId="0" fontId="20" fillId="7" borderId="4" xfId="0" applyFont="1" applyFill="1" applyBorder="1" applyAlignment="1">
      <alignment vertical="center" wrapText="1"/>
    </xf>
    <xf numFmtId="0" fontId="0" fillId="0" borderId="14" xfId="0" applyBorder="1"/>
    <xf numFmtId="1" fontId="20" fillId="7" borderId="12" xfId="0" applyNumberFormat="1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/>
    </xf>
    <xf numFmtId="1" fontId="0" fillId="0" borderId="0" xfId="0" applyNumberFormat="1" applyAlignment="1">
      <alignment horizontal="center" vertical="center"/>
    </xf>
    <xf numFmtId="0" fontId="19" fillId="7" borderId="0" xfId="0" applyFont="1" applyFill="1" applyBorder="1" applyAlignment="1">
      <alignment horizontal="center" vertical="center" wrapText="1"/>
    </xf>
    <xf numFmtId="1" fontId="0" fillId="0" borderId="4" xfId="0" applyNumberFormat="1" applyBorder="1" applyAlignment="1">
      <alignment horizontal="center" vertical="center"/>
    </xf>
    <xf numFmtId="1" fontId="20" fillId="7" borderId="0" xfId="0" applyNumberFormat="1" applyFont="1" applyFill="1" applyBorder="1" applyAlignment="1">
      <alignment horizontal="center" vertical="center" wrapText="1"/>
    </xf>
    <xf numFmtId="0" fontId="20" fillId="7" borderId="0" xfId="0" applyFont="1" applyFill="1" applyBorder="1" applyAlignment="1">
      <alignment horizontal="center" vertical="center" wrapText="1"/>
    </xf>
    <xf numFmtId="0" fontId="21" fillId="3" borderId="4" xfId="0" applyFont="1" applyFill="1" applyBorder="1" applyAlignment="1" applyProtection="1">
      <alignment horizontal="left" vertical="center" wrapText="1" readingOrder="1"/>
      <protection hidden="1"/>
    </xf>
    <xf numFmtId="17" fontId="18" fillId="0" borderId="0" xfId="0" applyNumberFormat="1" applyFont="1" applyAlignment="1"/>
    <xf numFmtId="1" fontId="22" fillId="3" borderId="4" xfId="0" applyNumberFormat="1" applyFont="1" applyFill="1" applyBorder="1" applyAlignment="1" applyProtection="1">
      <alignment horizontal="center" vertical="center" wrapText="1"/>
      <protection hidden="1"/>
    </xf>
    <xf numFmtId="2" fontId="22" fillId="3" borderId="4" xfId="0" applyNumberFormat="1" applyFont="1" applyFill="1" applyBorder="1" applyAlignment="1" applyProtection="1">
      <alignment horizontal="center" vertical="center" wrapText="1"/>
      <protection hidden="1"/>
    </xf>
    <xf numFmtId="2" fontId="22" fillId="0" borderId="4" xfId="0" applyNumberFormat="1" applyFont="1" applyFill="1" applyBorder="1" applyAlignment="1" applyProtection="1">
      <alignment horizontal="center" vertical="center" wrapText="1"/>
      <protection hidden="1"/>
    </xf>
    <xf numFmtId="0" fontId="22" fillId="3" borderId="4" xfId="0" applyFont="1" applyFill="1" applyBorder="1" applyAlignment="1" applyProtection="1">
      <alignment horizontal="left" vertical="center" wrapText="1" readingOrder="1"/>
      <protection hidden="1"/>
    </xf>
    <xf numFmtId="2" fontId="16" fillId="0" borderId="4" xfId="0" applyNumberFormat="1" applyFont="1" applyBorder="1" applyAlignment="1">
      <alignment horizontal="center" vertical="center" wrapText="1"/>
    </xf>
    <xf numFmtId="2" fontId="16" fillId="6" borderId="4" xfId="0" applyNumberFormat="1" applyFont="1" applyFill="1" applyBorder="1" applyAlignment="1">
      <alignment horizontal="center" vertical="top" wrapText="1"/>
    </xf>
    <xf numFmtId="1" fontId="16" fillId="0" borderId="4" xfId="0" applyNumberFormat="1" applyFont="1" applyBorder="1" applyAlignment="1">
      <alignment horizontal="center" vertical="center" wrapText="1"/>
    </xf>
    <xf numFmtId="1" fontId="16" fillId="6" borderId="4" xfId="0" applyNumberFormat="1" applyFont="1" applyFill="1" applyBorder="1" applyAlignment="1">
      <alignment horizontal="center" vertical="top" wrapText="1"/>
    </xf>
    <xf numFmtId="1" fontId="17" fillId="0" borderId="4" xfId="0" applyNumberFormat="1" applyFont="1" applyBorder="1" applyAlignment="1">
      <alignment horizontal="center" vertical="center" wrapText="1"/>
    </xf>
    <xf numFmtId="2" fontId="17" fillId="0" borderId="4" xfId="0" applyNumberFormat="1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1" fontId="11" fillId="0" borderId="4" xfId="0" applyNumberFormat="1" applyFont="1" applyFill="1" applyBorder="1" applyAlignment="1" applyProtection="1">
      <alignment horizontal="center" vertical="center" wrapText="1"/>
      <protection hidden="1"/>
    </xf>
    <xf numFmtId="2" fontId="11" fillId="0" borderId="4" xfId="0" applyNumberFormat="1" applyFont="1" applyFill="1" applyBorder="1" applyAlignment="1" applyProtection="1">
      <alignment horizontal="center" vertical="center" wrapText="1"/>
      <protection hidden="1"/>
    </xf>
    <xf numFmtId="0" fontId="4" fillId="3" borderId="0" xfId="0" applyFont="1" applyFill="1" applyBorder="1" applyAlignment="1" applyProtection="1">
      <alignment horizontal="center" vertical="center"/>
      <protection hidden="1"/>
    </xf>
    <xf numFmtId="2" fontId="4" fillId="3" borderId="0" xfId="0" applyNumberFormat="1" applyFont="1" applyFill="1" applyBorder="1" applyAlignment="1" applyProtection="1">
      <alignment horizontal="center" vertical="center"/>
      <protection hidden="1"/>
    </xf>
    <xf numFmtId="2" fontId="3" fillId="0" borderId="0" xfId="0" applyNumberFormat="1" applyFont="1" applyFill="1" applyBorder="1" applyAlignment="1" applyProtection="1">
      <alignment horizontal="center" vertical="center"/>
      <protection hidden="1"/>
    </xf>
    <xf numFmtId="1" fontId="22" fillId="0" borderId="4" xfId="0" applyNumberFormat="1" applyFont="1" applyFill="1" applyBorder="1" applyAlignment="1" applyProtection="1">
      <alignment horizontal="center" vertical="center" wrapText="1"/>
      <protection hidden="1"/>
    </xf>
    <xf numFmtId="0" fontId="5" fillId="0" borderId="2" xfId="0" applyFont="1" applyBorder="1" applyAlignment="1" applyProtection="1">
      <alignment horizontal="center"/>
      <protection hidden="1"/>
    </xf>
    <xf numFmtId="0" fontId="5" fillId="0" borderId="3" xfId="0" applyFont="1" applyBorder="1" applyAlignment="1" applyProtection="1">
      <alignment horizontal="center"/>
      <protection hidden="1"/>
    </xf>
    <xf numFmtId="0" fontId="8" fillId="5" borderId="6" xfId="0" applyFont="1" applyFill="1" applyBorder="1" applyAlignment="1" applyProtection="1">
      <alignment horizontal="center" vertical="center" wrapText="1" readingOrder="1"/>
      <protection hidden="1"/>
    </xf>
    <xf numFmtId="0" fontId="8" fillId="5" borderId="7" xfId="0" applyFont="1" applyFill="1" applyBorder="1" applyAlignment="1" applyProtection="1">
      <alignment horizontal="center" vertical="center" wrapText="1" readingOrder="1"/>
      <protection hidden="1"/>
    </xf>
    <xf numFmtId="0" fontId="8" fillId="5" borderId="8" xfId="0" applyFont="1" applyFill="1" applyBorder="1" applyAlignment="1" applyProtection="1">
      <alignment horizontal="center" vertical="center" wrapText="1" readingOrder="1"/>
      <protection hidden="1"/>
    </xf>
    <xf numFmtId="0" fontId="9" fillId="3" borderId="6" xfId="0" applyFont="1" applyFill="1" applyBorder="1" applyAlignment="1" applyProtection="1">
      <alignment horizontal="center" vertical="center" wrapText="1" readingOrder="1"/>
      <protection hidden="1"/>
    </xf>
    <xf numFmtId="0" fontId="9" fillId="3" borderId="7" xfId="0" applyFont="1" applyFill="1" applyBorder="1" applyAlignment="1" applyProtection="1">
      <alignment horizontal="center" vertical="center" wrapText="1" readingOrder="1"/>
      <protection hidden="1"/>
    </xf>
    <xf numFmtId="0" fontId="9" fillId="3" borderId="8" xfId="0" applyFont="1" applyFill="1" applyBorder="1" applyAlignment="1" applyProtection="1">
      <alignment horizontal="center" vertical="center" wrapText="1" readingOrder="1"/>
      <protection hidden="1"/>
    </xf>
    <xf numFmtId="0" fontId="16" fillId="0" borderId="4" xfId="0" applyFont="1" applyBorder="1" applyAlignment="1">
      <alignment horizontal="left" vertical="top" wrapText="1"/>
    </xf>
    <xf numFmtId="0" fontId="16" fillId="6" borderId="4" xfId="0" applyFont="1" applyFill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top" wrapText="1"/>
    </xf>
    <xf numFmtId="0" fontId="17" fillId="0" borderId="7" xfId="0" applyFont="1" applyBorder="1" applyAlignment="1">
      <alignment horizontal="center" vertical="top" wrapText="1"/>
    </xf>
    <xf numFmtId="0" fontId="17" fillId="0" borderId="8" xfId="0" applyFont="1" applyBorder="1" applyAlignment="1">
      <alignment horizontal="center" vertical="top" wrapText="1"/>
    </xf>
    <xf numFmtId="0" fontId="17" fillId="0" borderId="4" xfId="0" applyFont="1" applyBorder="1" applyAlignment="1">
      <alignment horizontal="center" vertical="top" wrapText="1"/>
    </xf>
    <xf numFmtId="0" fontId="17" fillId="0" borderId="4" xfId="0" applyFont="1" applyBorder="1" applyAlignment="1">
      <alignment horizontal="center" wrapText="1"/>
    </xf>
    <xf numFmtId="0" fontId="16" fillId="0" borderId="4" xfId="0" applyFont="1" applyBorder="1" applyAlignment="1">
      <alignment horizontal="center" vertical="top" wrapText="1"/>
    </xf>
    <xf numFmtId="0" fontId="18" fillId="0" borderId="0" xfId="0" applyFont="1" applyAlignment="1">
      <alignment horizontal="center"/>
    </xf>
  </cellXfs>
  <cellStyles count="7">
    <cellStyle name="Check Cell 12" xfId="1"/>
    <cellStyle name="Comma 2" xfId="2"/>
    <cellStyle name="Comma 2 2" xfId="3"/>
    <cellStyle name="Normal" xfId="0" builtinId="0"/>
    <cellStyle name="Normal 13" xfId="4"/>
    <cellStyle name="Normal 2 2" xfId="5"/>
    <cellStyle name="Normal 2 3" xfId="6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vky/VKYRSP/Reports/Master/Projects/19%20.%20Projects%20till%20June'26/Physical%20and%20Financial%20%20Progress%20tracking%20May-26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eport Month "/>
      <sheetName val="Summary of Projects"/>
      <sheetName val="PMC"/>
      <sheetName val="Phy Progress"/>
      <sheetName val="Capex"/>
      <sheetName val="AMR- Summary "/>
      <sheetName val="AMR Sheet"/>
      <sheetName val="MOS Capex Format"/>
      <sheetName val="MoS Word Format"/>
      <sheetName val="COB#7 Hutni S curve"/>
      <sheetName val="Appendix 2"/>
      <sheetName val="COB#7 Battery S curve"/>
      <sheetName val="S-Curve Caster"/>
      <sheetName val="S-Curve COB2"/>
      <sheetName val="S-curve STP"/>
      <sheetName val="S-Curve Power Enabling"/>
      <sheetName val="Meeting Agenda"/>
      <sheetName val="S-Curve TS 2"/>
      <sheetName val="S-C New Product Testing Lab."/>
      <sheetName val="4th Stove S-curve"/>
      <sheetName val="2 MTPA Pellet S curve"/>
      <sheetName val="Corporate Projects"/>
      <sheetName val="S-curve Formula Calc."/>
      <sheetName val="COB2 vs CSP "/>
      <sheetName val="EXpanssion"/>
      <sheetName val="AMR New Schemes for Fy27"/>
      <sheetName val="Sheet1"/>
    </sheetNames>
    <sheetDataSet>
      <sheetData sheetId="0"/>
      <sheetData sheetId="1"/>
      <sheetData sheetId="2"/>
      <sheetData sheetId="3"/>
      <sheetData sheetId="4">
        <row r="34">
          <cell r="AL34">
            <v>0</v>
          </cell>
        </row>
        <row r="35">
          <cell r="AL35">
            <v>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76"/>
  <sheetViews>
    <sheetView showGridLines="0" tabSelected="1" view="pageBreakPreview" zoomScale="115" zoomScaleSheetLayoutView="115" workbookViewId="0">
      <pane xSplit="2" ySplit="3" topLeftCell="C40" activePane="bottomRight" state="frozen"/>
      <selection pane="topRight" activeCell="C1" sqref="C1"/>
      <selection pane="bottomLeft" activeCell="A7" sqref="A7"/>
      <selection pane="bottomRight" activeCell="B44" sqref="B44"/>
    </sheetView>
  </sheetViews>
  <sheetFormatPr defaultColWidth="9.140625" defaultRowHeight="15"/>
  <cols>
    <col min="1" max="1" width="5.42578125" style="1" bestFit="1" customWidth="1"/>
    <col min="2" max="2" width="61.42578125" style="1" customWidth="1"/>
    <col min="3" max="3" width="14" style="1" bestFit="1" customWidth="1"/>
    <col min="4" max="4" width="14.42578125" style="1" bestFit="1" customWidth="1"/>
    <col min="5" max="5" width="25" style="1" customWidth="1"/>
    <col min="6" max="6" width="12.42578125" style="1" bestFit="1" customWidth="1"/>
    <col min="7" max="7" width="25" style="61" bestFit="1" customWidth="1"/>
    <col min="8" max="8" width="19.28515625" style="1" bestFit="1" customWidth="1"/>
    <col min="9" max="9" width="39.42578125" style="59" bestFit="1" customWidth="1"/>
    <col min="10" max="10" width="15.7109375" style="1" customWidth="1"/>
    <col min="11" max="16384" width="9.140625" style="6"/>
  </cols>
  <sheetData>
    <row r="1" spans="1:12" ht="42">
      <c r="B1" s="109" t="s">
        <v>0</v>
      </c>
      <c r="C1" s="109"/>
      <c r="D1" s="109"/>
      <c r="E1" s="110"/>
      <c r="F1" s="2"/>
      <c r="G1" s="3"/>
      <c r="H1" s="2"/>
      <c r="I1" s="4" t="s">
        <v>1</v>
      </c>
      <c r="J1" s="5">
        <v>46203</v>
      </c>
    </row>
    <row r="2" spans="1:12" s="11" customFormat="1" ht="86.25">
      <c r="A2" s="7" t="s">
        <v>2</v>
      </c>
      <c r="B2" s="7" t="s">
        <v>3</v>
      </c>
      <c r="C2" s="7" t="s">
        <v>4</v>
      </c>
      <c r="D2" s="7" t="s">
        <v>5</v>
      </c>
      <c r="E2" s="7" t="s">
        <v>71</v>
      </c>
      <c r="F2" s="7" t="s">
        <v>72</v>
      </c>
      <c r="G2" s="8" t="s">
        <v>73</v>
      </c>
      <c r="H2" s="7" t="s">
        <v>6</v>
      </c>
      <c r="I2" s="9" t="s">
        <v>7</v>
      </c>
      <c r="J2" s="10"/>
    </row>
    <row r="3" spans="1:12" s="13" customFormat="1" ht="17.25">
      <c r="A3" s="7">
        <v>1</v>
      </c>
      <c r="B3" s="7">
        <v>2</v>
      </c>
      <c r="C3" s="7">
        <v>3</v>
      </c>
      <c r="D3" s="7">
        <v>4</v>
      </c>
      <c r="E3" s="7">
        <v>5</v>
      </c>
      <c r="F3" s="7">
        <v>6</v>
      </c>
      <c r="G3" s="7">
        <v>7</v>
      </c>
      <c r="H3" s="7">
        <v>8</v>
      </c>
      <c r="I3" s="7">
        <v>9</v>
      </c>
      <c r="J3" s="12"/>
    </row>
    <row r="4" spans="1:12" ht="17.25">
      <c r="A4" s="14"/>
      <c r="B4" s="15" t="s">
        <v>8</v>
      </c>
      <c r="C4" s="16">
        <f>C5+C9</f>
        <v>28</v>
      </c>
      <c r="D4" s="17">
        <f t="shared" ref="D4:G4" si="0">D5+D9</f>
        <v>5628.5498893901904</v>
      </c>
      <c r="E4" s="17">
        <f t="shared" si="0"/>
        <v>1078.771644827</v>
      </c>
      <c r="F4" s="17">
        <f t="shared" si="0"/>
        <v>1483</v>
      </c>
      <c r="G4" s="17">
        <f t="shared" si="0"/>
        <v>630.00587839999992</v>
      </c>
      <c r="H4" s="17">
        <f>E4+G4</f>
        <v>1708.7775232270001</v>
      </c>
      <c r="I4" s="18"/>
      <c r="J4" s="6"/>
    </row>
    <row r="5" spans="1:12" ht="17.25">
      <c r="A5" s="19"/>
      <c r="B5" s="9" t="s">
        <v>9</v>
      </c>
      <c r="C5" s="20">
        <f>SUM(C6:C8)</f>
        <v>10</v>
      </c>
      <c r="D5" s="20">
        <f t="shared" ref="D5:F5" si="1">SUM(D6:D8)</f>
        <v>5368.3087065841901</v>
      </c>
      <c r="E5" s="20">
        <f t="shared" si="1"/>
        <v>1008.39</v>
      </c>
      <c r="F5" s="20">
        <f t="shared" si="1"/>
        <v>1357</v>
      </c>
      <c r="G5" s="17">
        <f>SUM(G6:G8)</f>
        <v>611.2399999999999</v>
      </c>
      <c r="H5" s="20">
        <f t="shared" ref="H5:H50" si="2">E5+G5</f>
        <v>1619.6299999999999</v>
      </c>
      <c r="I5" s="9"/>
      <c r="J5" s="6"/>
    </row>
    <row r="6" spans="1:12" ht="18.75">
      <c r="A6" s="19"/>
      <c r="B6" s="22" t="s">
        <v>10</v>
      </c>
      <c r="C6" s="23">
        <v>9</v>
      </c>
      <c r="D6" s="24">
        <v>5368.3087065841901</v>
      </c>
      <c r="E6" s="24">
        <v>1008.39</v>
      </c>
      <c r="F6" s="24">
        <v>1357</v>
      </c>
      <c r="G6" s="25">
        <v>611.2399999999999</v>
      </c>
      <c r="H6" s="24">
        <f>G6+E6</f>
        <v>1619.6299999999999</v>
      </c>
      <c r="I6" s="90"/>
      <c r="J6" s="6"/>
    </row>
    <row r="7" spans="1:12" ht="17.25">
      <c r="A7" s="19"/>
      <c r="B7" s="22" t="s">
        <v>11</v>
      </c>
      <c r="C7" s="23">
        <v>1</v>
      </c>
      <c r="D7" s="24">
        <v>0</v>
      </c>
      <c r="E7" s="24">
        <v>0</v>
      </c>
      <c r="F7" s="24">
        <v>0</v>
      </c>
      <c r="G7" s="25">
        <v>0</v>
      </c>
      <c r="H7" s="24">
        <f>G7+E7</f>
        <v>0</v>
      </c>
      <c r="I7" s="26"/>
      <c r="J7" s="6"/>
    </row>
    <row r="8" spans="1:12" ht="17.25">
      <c r="A8" s="19"/>
      <c r="B8" s="22" t="s">
        <v>12</v>
      </c>
      <c r="C8" s="23">
        <v>0</v>
      </c>
      <c r="D8" s="24">
        <v>0</v>
      </c>
      <c r="E8" s="24">
        <v>0</v>
      </c>
      <c r="F8" s="24">
        <v>0</v>
      </c>
      <c r="G8" s="25">
        <v>0</v>
      </c>
      <c r="H8" s="24">
        <f>G8+E8</f>
        <v>0</v>
      </c>
      <c r="I8" s="26"/>
      <c r="J8" s="6"/>
    </row>
    <row r="9" spans="1:12" ht="17.25">
      <c r="A9" s="19"/>
      <c r="B9" s="9" t="s">
        <v>13</v>
      </c>
      <c r="C9" s="20">
        <f>SUM(C10:C12)</f>
        <v>18</v>
      </c>
      <c r="D9" s="21">
        <f t="shared" ref="D9:F9" si="3">SUM(D10:D12)</f>
        <v>260.24118280600004</v>
      </c>
      <c r="E9" s="20">
        <f t="shared" si="3"/>
        <v>70.381644826999988</v>
      </c>
      <c r="F9" s="21">
        <f t="shared" si="3"/>
        <v>126</v>
      </c>
      <c r="G9" s="17">
        <f>SUM(G10:G12)</f>
        <v>18.765878399999998</v>
      </c>
      <c r="H9" s="21">
        <f t="shared" si="2"/>
        <v>89.147523226999994</v>
      </c>
      <c r="I9" s="27"/>
      <c r="J9" s="6"/>
    </row>
    <row r="10" spans="1:12" ht="18.75" customHeight="1">
      <c r="A10" s="19"/>
      <c r="B10" s="22" t="s">
        <v>10</v>
      </c>
      <c r="C10" s="23">
        <v>5</v>
      </c>
      <c r="D10" s="24">
        <v>70.077387630000004</v>
      </c>
      <c r="E10" s="24">
        <v>0.16820350000000001</v>
      </c>
      <c r="F10" s="24">
        <v>29</v>
      </c>
      <c r="G10" s="25">
        <v>0.74434739999999999</v>
      </c>
      <c r="H10" s="24">
        <f>G10+E10</f>
        <v>0.91255090000000005</v>
      </c>
      <c r="I10" s="28"/>
      <c r="J10" s="6"/>
    </row>
    <row r="11" spans="1:12" ht="18.75" customHeight="1">
      <c r="A11" s="19"/>
      <c r="B11" s="22" t="s">
        <v>11</v>
      </c>
      <c r="C11" s="23">
        <v>9</v>
      </c>
      <c r="D11" s="24">
        <v>116.25221091200002</v>
      </c>
      <c r="E11" s="24">
        <v>37.735304046999993</v>
      </c>
      <c r="F11" s="24">
        <v>63</v>
      </c>
      <c r="G11" s="25">
        <v>10.938883499999999</v>
      </c>
      <c r="H11" s="24">
        <f>G11+E11</f>
        <v>48.674187546999988</v>
      </c>
      <c r="I11" s="28"/>
      <c r="J11" s="6"/>
    </row>
    <row r="12" spans="1:12" ht="18.75" customHeight="1">
      <c r="A12" s="19"/>
      <c r="B12" s="22" t="s">
        <v>12</v>
      </c>
      <c r="C12" s="23">
        <v>4</v>
      </c>
      <c r="D12" s="24">
        <v>73.911584263999998</v>
      </c>
      <c r="E12" s="24">
        <v>32.478137279999999</v>
      </c>
      <c r="F12" s="24">
        <v>34</v>
      </c>
      <c r="G12" s="25">
        <v>7.0826475000000002</v>
      </c>
      <c r="H12" s="24">
        <f>G12+E12</f>
        <v>39.560784779999999</v>
      </c>
      <c r="I12" s="28"/>
      <c r="J12" s="6"/>
    </row>
    <row r="13" spans="1:12" ht="17.25">
      <c r="A13" s="19"/>
      <c r="B13" s="15" t="s">
        <v>65</v>
      </c>
      <c r="C13" s="17">
        <f>C14+C18</f>
        <v>24</v>
      </c>
      <c r="D13" s="17">
        <f t="shared" ref="D13:G13" si="4">D14+D18</f>
        <v>183.80397074189995</v>
      </c>
      <c r="E13" s="17">
        <f t="shared" si="4"/>
        <v>0</v>
      </c>
      <c r="F13" s="17">
        <f t="shared" si="4"/>
        <v>33.299999999999997</v>
      </c>
      <c r="G13" s="17">
        <f t="shared" si="4"/>
        <v>9.3594000000000004E-3</v>
      </c>
      <c r="H13" s="17">
        <f t="shared" si="2"/>
        <v>9.3594000000000004E-3</v>
      </c>
      <c r="I13" s="15"/>
      <c r="J13" s="6"/>
      <c r="K13" s="30"/>
      <c r="L13" s="29"/>
    </row>
    <row r="14" spans="1:12" ht="26.25">
      <c r="A14" s="19"/>
      <c r="B14" s="9" t="s">
        <v>9</v>
      </c>
      <c r="C14" s="20">
        <f>SUM(C15:C17)</f>
        <v>0</v>
      </c>
      <c r="D14" s="20">
        <f t="shared" ref="D14:F14" si="5">SUM(D15:D17)</f>
        <v>0</v>
      </c>
      <c r="E14" s="20">
        <f t="shared" si="5"/>
        <v>0</v>
      </c>
      <c r="F14" s="20">
        <f t="shared" si="5"/>
        <v>0</v>
      </c>
      <c r="G14" s="31">
        <f>SUM(G15:G17)</f>
        <v>0</v>
      </c>
      <c r="H14" s="21">
        <f t="shared" si="2"/>
        <v>0</v>
      </c>
      <c r="I14" s="9"/>
      <c r="J14" s="32"/>
    </row>
    <row r="15" spans="1:12" ht="26.25">
      <c r="A15" s="19"/>
      <c r="B15" s="22" t="s">
        <v>10</v>
      </c>
      <c r="C15" s="92">
        <v>0</v>
      </c>
      <c r="D15" s="93">
        <v>0</v>
      </c>
      <c r="E15" s="93">
        <v>0</v>
      </c>
      <c r="F15" s="93">
        <v>0</v>
      </c>
      <c r="G15" s="33">
        <v>0</v>
      </c>
      <c r="H15" s="24">
        <f>G15+E15</f>
        <v>0</v>
      </c>
      <c r="I15" s="26"/>
      <c r="J15" s="32"/>
    </row>
    <row r="16" spans="1:12" ht="26.25">
      <c r="A16" s="19"/>
      <c r="B16" s="22" t="s">
        <v>11</v>
      </c>
      <c r="C16" s="92">
        <v>0</v>
      </c>
      <c r="D16" s="93">
        <v>0</v>
      </c>
      <c r="E16" s="93">
        <v>0</v>
      </c>
      <c r="F16" s="93">
        <v>0</v>
      </c>
      <c r="G16" s="33">
        <v>0</v>
      </c>
      <c r="H16" s="24">
        <f>G16+E16</f>
        <v>0</v>
      </c>
      <c r="I16" s="26"/>
      <c r="J16" s="32"/>
    </row>
    <row r="17" spans="1:11" ht="26.25">
      <c r="A17" s="19"/>
      <c r="B17" s="22" t="s">
        <v>12</v>
      </c>
      <c r="C17" s="92">
        <v>0</v>
      </c>
      <c r="D17" s="93">
        <v>0</v>
      </c>
      <c r="E17" s="93">
        <v>0</v>
      </c>
      <c r="F17" s="93">
        <v>0</v>
      </c>
      <c r="G17" s="33">
        <v>0</v>
      </c>
      <c r="H17" s="24">
        <f>G17+E17</f>
        <v>0</v>
      </c>
      <c r="I17" s="26"/>
      <c r="J17" s="32"/>
    </row>
    <row r="18" spans="1:11" ht="17.25">
      <c r="A18" s="19"/>
      <c r="B18" s="9" t="s">
        <v>13</v>
      </c>
      <c r="C18" s="21">
        <f>SUM(C19:C21)</f>
        <v>24</v>
      </c>
      <c r="D18" s="21">
        <f t="shared" ref="D18:F18" si="6">SUM(D19:D21)</f>
        <v>183.80397074189995</v>
      </c>
      <c r="E18" s="21">
        <f t="shared" si="6"/>
        <v>0</v>
      </c>
      <c r="F18" s="21">
        <f t="shared" si="6"/>
        <v>33.299999999999997</v>
      </c>
      <c r="G18" s="31">
        <f>SUM(G19:G21)</f>
        <v>9.3594000000000004E-3</v>
      </c>
      <c r="H18" s="21">
        <f t="shared" si="2"/>
        <v>9.3594000000000004E-3</v>
      </c>
      <c r="I18" s="27"/>
      <c r="J18" s="6"/>
      <c r="K18" s="29"/>
    </row>
    <row r="19" spans="1:11" ht="17.25">
      <c r="A19" s="19"/>
      <c r="B19" s="22" t="s">
        <v>10</v>
      </c>
      <c r="C19" s="34">
        <v>23</v>
      </c>
      <c r="D19" s="24">
        <v>183.41844114189993</v>
      </c>
      <c r="E19" s="24">
        <v>0</v>
      </c>
      <c r="F19" s="24">
        <v>33</v>
      </c>
      <c r="G19" s="33">
        <v>9.3594000000000004E-3</v>
      </c>
      <c r="H19" s="24">
        <f>G19+E19</f>
        <v>9.3594000000000004E-3</v>
      </c>
      <c r="I19" s="28"/>
      <c r="J19" s="6"/>
      <c r="K19" s="29"/>
    </row>
    <row r="20" spans="1:11" ht="17.25">
      <c r="A20" s="19"/>
      <c r="B20" s="22" t="s">
        <v>11</v>
      </c>
      <c r="C20" s="34">
        <v>1</v>
      </c>
      <c r="D20" s="24">
        <v>0.38552959999999997</v>
      </c>
      <c r="E20" s="24">
        <v>0</v>
      </c>
      <c r="F20" s="24">
        <v>0.3</v>
      </c>
      <c r="G20" s="33">
        <v>0</v>
      </c>
      <c r="H20" s="24">
        <f>G20+E20</f>
        <v>0</v>
      </c>
      <c r="I20" s="28"/>
      <c r="J20" s="6"/>
      <c r="K20" s="29"/>
    </row>
    <row r="21" spans="1:11" ht="17.25">
      <c r="A21" s="19"/>
      <c r="B21" s="22" t="s">
        <v>12</v>
      </c>
      <c r="C21" s="34">
        <v>0</v>
      </c>
      <c r="D21" s="24">
        <v>0</v>
      </c>
      <c r="E21" s="24">
        <v>0</v>
      </c>
      <c r="F21" s="24">
        <v>0</v>
      </c>
      <c r="G21" s="33">
        <v>0</v>
      </c>
      <c r="H21" s="24">
        <v>0</v>
      </c>
      <c r="I21" s="28"/>
      <c r="J21" s="6"/>
      <c r="K21" s="29"/>
    </row>
    <row r="22" spans="1:11" ht="17.25">
      <c r="A22" s="35"/>
      <c r="B22" s="15" t="s">
        <v>14</v>
      </c>
      <c r="C22" s="17">
        <f>SUM(C23:C25)</f>
        <v>52</v>
      </c>
      <c r="D22" s="17">
        <f t="shared" ref="D22:G22" si="7">SUM(D23:D25)</f>
        <v>5812.3538601320906</v>
      </c>
      <c r="E22" s="17">
        <f t="shared" si="7"/>
        <v>1078.771644827</v>
      </c>
      <c r="F22" s="17">
        <f t="shared" si="7"/>
        <v>1516.3</v>
      </c>
      <c r="G22" s="17">
        <f t="shared" si="7"/>
        <v>630.01523779999991</v>
      </c>
      <c r="H22" s="17">
        <f t="shared" si="2"/>
        <v>1708.7868826270001</v>
      </c>
      <c r="I22" s="15"/>
      <c r="J22" s="6"/>
    </row>
    <row r="23" spans="1:11" ht="17.25">
      <c r="A23" s="19"/>
      <c r="B23" s="36" t="s">
        <v>10</v>
      </c>
      <c r="C23" s="37">
        <f t="shared" ref="C23:G25" si="8">C19+C15+C10+C6</f>
        <v>37</v>
      </c>
      <c r="D23" s="38">
        <f t="shared" si="8"/>
        <v>5621.8045353560901</v>
      </c>
      <c r="E23" s="38">
        <f t="shared" si="8"/>
        <v>1008.5582035</v>
      </c>
      <c r="F23" s="38">
        <f t="shared" si="8"/>
        <v>1419</v>
      </c>
      <c r="G23" s="17">
        <f t="shared" si="8"/>
        <v>611.99370679999993</v>
      </c>
      <c r="H23" s="38">
        <f t="shared" si="2"/>
        <v>1620.5519102999999</v>
      </c>
      <c r="I23" s="39"/>
      <c r="J23" s="6"/>
    </row>
    <row r="24" spans="1:11" ht="17.25">
      <c r="A24" s="19"/>
      <c r="B24" s="36" t="s">
        <v>11</v>
      </c>
      <c r="C24" s="37">
        <f>C20+C16+C11+C7</f>
        <v>11</v>
      </c>
      <c r="D24" s="38">
        <f t="shared" si="8"/>
        <v>116.63774051200002</v>
      </c>
      <c r="E24" s="38">
        <f t="shared" si="8"/>
        <v>37.735304046999993</v>
      </c>
      <c r="F24" s="38">
        <f t="shared" si="8"/>
        <v>63.3</v>
      </c>
      <c r="G24" s="17">
        <f t="shared" si="8"/>
        <v>10.938883499999999</v>
      </c>
      <c r="H24" s="38">
        <f t="shared" si="2"/>
        <v>48.674187546999988</v>
      </c>
      <c r="I24" s="39"/>
      <c r="J24" s="6"/>
    </row>
    <row r="25" spans="1:11" ht="17.25">
      <c r="A25" s="19"/>
      <c r="B25" s="36" t="s">
        <v>12</v>
      </c>
      <c r="C25" s="37">
        <f>C21+C17+C12+C8</f>
        <v>4</v>
      </c>
      <c r="D25" s="38">
        <f t="shared" si="8"/>
        <v>73.911584263999998</v>
      </c>
      <c r="E25" s="38">
        <f t="shared" si="8"/>
        <v>32.478137279999999</v>
      </c>
      <c r="F25" s="38">
        <f t="shared" si="8"/>
        <v>34</v>
      </c>
      <c r="G25" s="17">
        <f t="shared" si="8"/>
        <v>7.0826475000000002</v>
      </c>
      <c r="H25" s="38">
        <f t="shared" si="2"/>
        <v>39.560784779999999</v>
      </c>
      <c r="I25" s="39"/>
      <c r="J25" s="6"/>
    </row>
    <row r="26" spans="1:11" ht="17.25">
      <c r="A26" s="111">
        <v>2</v>
      </c>
      <c r="B26" s="15" t="s">
        <v>15</v>
      </c>
      <c r="C26" s="17"/>
      <c r="D26" s="17"/>
      <c r="E26" s="17"/>
      <c r="F26" s="17">
        <f>SUM(F27:F37)</f>
        <v>288.50811449999998</v>
      </c>
      <c r="G26" s="17">
        <f>SUM(G27:G37)</f>
        <v>172.31476220000002</v>
      </c>
      <c r="H26" s="17">
        <f t="shared" si="2"/>
        <v>172.31476220000002</v>
      </c>
      <c r="I26" s="15"/>
      <c r="J26" s="6"/>
    </row>
    <row r="27" spans="1:11" ht="17.25">
      <c r="A27" s="112"/>
      <c r="B27" s="26" t="s">
        <v>16</v>
      </c>
      <c r="C27" s="23">
        <v>1</v>
      </c>
      <c r="D27" s="24">
        <v>14240</v>
      </c>
      <c r="E27" s="24">
        <v>14183.99</v>
      </c>
      <c r="F27" s="24">
        <v>0</v>
      </c>
      <c r="G27" s="25">
        <v>0</v>
      </c>
      <c r="H27" s="24">
        <f t="shared" ref="H27:H37" si="9">G27+E27</f>
        <v>14183.99</v>
      </c>
      <c r="I27" s="26"/>
      <c r="J27" s="6"/>
    </row>
    <row r="28" spans="1:11" ht="17.25">
      <c r="A28" s="112"/>
      <c r="B28" s="40" t="s">
        <v>62</v>
      </c>
      <c r="C28" s="23"/>
      <c r="D28" s="24"/>
      <c r="E28" s="24"/>
      <c r="F28" s="24"/>
      <c r="G28" s="25">
        <v>0</v>
      </c>
      <c r="H28" s="24">
        <f t="shared" si="9"/>
        <v>0</v>
      </c>
      <c r="I28" s="26"/>
      <c r="J28" s="6"/>
    </row>
    <row r="29" spans="1:11" ht="17.25">
      <c r="A29" s="112"/>
      <c r="B29" s="40" t="s">
        <v>61</v>
      </c>
      <c r="C29" s="23">
        <v>1</v>
      </c>
      <c r="D29" s="24">
        <v>96.62</v>
      </c>
      <c r="E29" s="24">
        <v>87.02</v>
      </c>
      <c r="F29" s="24">
        <v>12.2</v>
      </c>
      <c r="G29" s="25">
        <v>0.86999999999999988</v>
      </c>
      <c r="H29" s="24">
        <f t="shared" si="9"/>
        <v>87.89</v>
      </c>
      <c r="I29" s="26"/>
      <c r="J29" s="6"/>
    </row>
    <row r="30" spans="1:11" ht="17.25">
      <c r="A30" s="112"/>
      <c r="B30" s="26" t="s">
        <v>32</v>
      </c>
      <c r="C30" s="23">
        <v>1</v>
      </c>
      <c r="D30" s="24">
        <v>158.16999999999999</v>
      </c>
      <c r="E30" s="24">
        <v>165.65</v>
      </c>
      <c r="F30" s="24">
        <v>0</v>
      </c>
      <c r="G30" s="25">
        <v>0.21</v>
      </c>
      <c r="H30" s="24">
        <f t="shared" si="9"/>
        <v>165.86</v>
      </c>
      <c r="I30" s="26"/>
      <c r="J30" s="6"/>
    </row>
    <row r="31" spans="1:11" ht="17.25">
      <c r="A31" s="112"/>
      <c r="B31" s="26" t="s">
        <v>55</v>
      </c>
      <c r="C31" s="23">
        <v>1</v>
      </c>
      <c r="D31" s="24">
        <v>433.58</v>
      </c>
      <c r="E31" s="24">
        <v>461.48</v>
      </c>
      <c r="F31" s="24">
        <v>5</v>
      </c>
      <c r="G31" s="25">
        <v>1.17</v>
      </c>
      <c r="H31" s="24">
        <f t="shared" si="9"/>
        <v>462.65000000000003</v>
      </c>
      <c r="I31" s="26"/>
      <c r="J31" s="6"/>
    </row>
    <row r="32" spans="1:11" ht="17.25">
      <c r="A32" s="112"/>
      <c r="B32" s="26" t="s">
        <v>64</v>
      </c>
      <c r="C32" s="23">
        <v>1</v>
      </c>
      <c r="D32" s="24">
        <v>1105.23</v>
      </c>
      <c r="E32" s="24">
        <v>897.96</v>
      </c>
      <c r="F32" s="24">
        <v>195</v>
      </c>
      <c r="G32" s="25">
        <v>77.7</v>
      </c>
      <c r="H32" s="24">
        <f t="shared" si="9"/>
        <v>975.66000000000008</v>
      </c>
      <c r="I32" s="26"/>
      <c r="J32" s="6"/>
    </row>
    <row r="33" spans="1:11" ht="17.25">
      <c r="A33" s="112"/>
      <c r="B33" s="26" t="s">
        <v>56</v>
      </c>
      <c r="C33" s="23">
        <v>1</v>
      </c>
      <c r="D33" s="24">
        <v>4033.88</v>
      </c>
      <c r="E33" s="24">
        <v>4177.7700000000004</v>
      </c>
      <c r="F33" s="24">
        <v>0</v>
      </c>
      <c r="G33" s="25">
        <v>0</v>
      </c>
      <c r="H33" s="24">
        <f t="shared" si="9"/>
        <v>4177.7700000000004</v>
      </c>
      <c r="I33" s="26"/>
      <c r="J33" s="6"/>
    </row>
    <row r="34" spans="1:11" ht="17.25">
      <c r="A34" s="112"/>
      <c r="B34" s="26" t="s">
        <v>33</v>
      </c>
      <c r="C34" s="23">
        <v>1</v>
      </c>
      <c r="D34" s="24">
        <v>83.49</v>
      </c>
      <c r="E34" s="24">
        <v>60.28</v>
      </c>
      <c r="F34" s="24">
        <v>16</v>
      </c>
      <c r="G34" s="25">
        <v>5.29</v>
      </c>
      <c r="H34" s="24">
        <f t="shared" si="9"/>
        <v>65.570000000000007</v>
      </c>
      <c r="I34" s="26"/>
      <c r="J34" s="6"/>
    </row>
    <row r="35" spans="1:11" ht="17.25">
      <c r="A35" s="112"/>
      <c r="B35" s="40" t="s">
        <v>17</v>
      </c>
      <c r="C35" s="41"/>
      <c r="D35" s="42"/>
      <c r="E35" s="42"/>
      <c r="F35" s="24">
        <v>34.590000000000003</v>
      </c>
      <c r="G35" s="33">
        <v>80.574109409000002</v>
      </c>
      <c r="H35" s="24">
        <f t="shared" si="9"/>
        <v>80.574109409000002</v>
      </c>
      <c r="I35" s="26"/>
      <c r="J35" s="6"/>
      <c r="K35" s="29"/>
    </row>
    <row r="36" spans="1:11" ht="17.25">
      <c r="A36" s="112"/>
      <c r="B36" s="40" t="s">
        <v>18</v>
      </c>
      <c r="C36" s="23">
        <v>9</v>
      </c>
      <c r="D36" s="24">
        <v>49.970598566000007</v>
      </c>
      <c r="E36" s="24">
        <v>14.440752819999998</v>
      </c>
      <c r="F36" s="24">
        <v>24.380000000000003</v>
      </c>
      <c r="G36" s="25">
        <v>5.6625382909999997</v>
      </c>
      <c r="H36" s="24">
        <f t="shared" si="9"/>
        <v>20.103291110999997</v>
      </c>
      <c r="I36" s="26"/>
      <c r="J36" s="6"/>
    </row>
    <row r="37" spans="1:11" ht="17.25">
      <c r="A37" s="113"/>
      <c r="B37" s="40" t="s">
        <v>19</v>
      </c>
      <c r="C37" s="23">
        <v>2</v>
      </c>
      <c r="D37" s="24">
        <v>1.4124067999999999</v>
      </c>
      <c r="E37" s="24">
        <v>0</v>
      </c>
      <c r="F37" s="24">
        <v>1.3381145000000001</v>
      </c>
      <c r="G37" s="25">
        <v>0.83811449999999998</v>
      </c>
      <c r="H37" s="24">
        <f t="shared" si="9"/>
        <v>0.83811449999999998</v>
      </c>
      <c r="I37" s="26"/>
      <c r="J37" s="6"/>
    </row>
    <row r="38" spans="1:11" ht="34.5">
      <c r="A38" s="43" t="s">
        <v>20</v>
      </c>
      <c r="B38" s="15" t="s">
        <v>21</v>
      </c>
      <c r="C38" s="17">
        <f>SUM(C39:C41)</f>
        <v>15</v>
      </c>
      <c r="D38" s="17">
        <f t="shared" ref="D38:G38" si="10">SUM(D39:D41)</f>
        <v>440.12638370299999</v>
      </c>
      <c r="E38" s="17">
        <f t="shared" si="10"/>
        <v>0.74</v>
      </c>
      <c r="F38" s="17">
        <f t="shared" si="10"/>
        <v>10.4</v>
      </c>
      <c r="G38" s="17">
        <f t="shared" si="10"/>
        <v>0</v>
      </c>
      <c r="H38" s="17">
        <f t="shared" si="2"/>
        <v>0.74</v>
      </c>
      <c r="I38" s="17"/>
      <c r="J38" s="6"/>
    </row>
    <row r="39" spans="1:11" ht="17.25">
      <c r="A39" s="114"/>
      <c r="B39" s="26" t="s">
        <v>59</v>
      </c>
      <c r="C39" s="92">
        <v>1</v>
      </c>
      <c r="D39" s="93">
        <v>367.15</v>
      </c>
      <c r="E39" s="93">
        <v>0.74</v>
      </c>
      <c r="F39" s="93">
        <v>0</v>
      </c>
      <c r="G39" s="94">
        <v>0</v>
      </c>
      <c r="H39" s="24">
        <f>G39+E39</f>
        <v>0.74</v>
      </c>
      <c r="I39" s="26" t="s">
        <v>57</v>
      </c>
      <c r="J39" s="6"/>
    </row>
    <row r="40" spans="1:11" ht="43.5" customHeight="1">
      <c r="A40" s="115"/>
      <c r="B40" s="40" t="s">
        <v>22</v>
      </c>
      <c r="C40" s="45">
        <v>0</v>
      </c>
      <c r="D40" s="44">
        <v>0</v>
      </c>
      <c r="E40" s="44">
        <v>0</v>
      </c>
      <c r="F40" s="44">
        <v>0</v>
      </c>
      <c r="G40" s="44">
        <v>0</v>
      </c>
      <c r="H40" s="24">
        <f>G40+E40</f>
        <v>0</v>
      </c>
      <c r="I40" s="26"/>
      <c r="J40" s="32"/>
    </row>
    <row r="41" spans="1:11" ht="26.25">
      <c r="A41" s="116"/>
      <c r="B41" s="26" t="s">
        <v>13</v>
      </c>
      <c r="C41" s="92">
        <v>14</v>
      </c>
      <c r="D41" s="93">
        <v>72.976383702999996</v>
      </c>
      <c r="E41" s="93">
        <v>0</v>
      </c>
      <c r="F41" s="93">
        <v>10.4</v>
      </c>
      <c r="G41" s="93">
        <v>0</v>
      </c>
      <c r="H41" s="24">
        <f>G41+E41</f>
        <v>0</v>
      </c>
      <c r="I41" s="26"/>
      <c r="J41" s="32"/>
    </row>
    <row r="42" spans="1:11" ht="17.25">
      <c r="A42" s="43" t="s">
        <v>23</v>
      </c>
      <c r="B42" s="15" t="s">
        <v>24</v>
      </c>
      <c r="C42" s="17">
        <f>SUM(C43:C47)</f>
        <v>4</v>
      </c>
      <c r="D42" s="17">
        <f>SUM(D43:D47)</f>
        <v>249.87</v>
      </c>
      <c r="E42" s="17">
        <f t="shared" ref="E42:G42" si="11">SUM(E43:E47)</f>
        <v>0</v>
      </c>
      <c r="F42" s="17">
        <f t="shared" si="11"/>
        <v>0</v>
      </c>
      <c r="G42" s="17">
        <f t="shared" si="11"/>
        <v>0</v>
      </c>
      <c r="H42" s="17">
        <f t="shared" si="2"/>
        <v>0</v>
      </c>
      <c r="I42" s="17"/>
      <c r="J42" s="6"/>
    </row>
    <row r="43" spans="1:11" ht="17.25">
      <c r="A43" s="46"/>
      <c r="B43" s="95" t="s">
        <v>58</v>
      </c>
      <c r="C43" s="108">
        <v>1</v>
      </c>
      <c r="D43" s="94">
        <v>52.56</v>
      </c>
      <c r="E43" s="94">
        <f>[1]Capex!D35</f>
        <v>0</v>
      </c>
      <c r="F43" s="94">
        <f>[1]Capex!E35</f>
        <v>0</v>
      </c>
      <c r="G43" s="94">
        <f>[1]Capex!AL35</f>
        <v>0</v>
      </c>
      <c r="H43" s="94">
        <f>E43+G43</f>
        <v>0</v>
      </c>
      <c r="I43" s="95"/>
      <c r="J43" s="6"/>
    </row>
    <row r="44" spans="1:11" ht="17.25">
      <c r="A44" s="46"/>
      <c r="B44" s="26" t="s">
        <v>76</v>
      </c>
      <c r="C44" s="108">
        <v>1</v>
      </c>
      <c r="D44" s="94">
        <v>64.66</v>
      </c>
      <c r="E44" s="94">
        <v>0</v>
      </c>
      <c r="F44" s="94">
        <v>0</v>
      </c>
      <c r="G44" s="94">
        <v>0</v>
      </c>
      <c r="H44" s="94">
        <v>0</v>
      </c>
      <c r="I44" s="95"/>
      <c r="J44" s="6"/>
    </row>
    <row r="45" spans="1:11" ht="17.25">
      <c r="A45" s="46"/>
      <c r="B45" s="26" t="s">
        <v>63</v>
      </c>
      <c r="C45" s="108">
        <v>1</v>
      </c>
      <c r="D45" s="94">
        <v>70.709999999999994</v>
      </c>
      <c r="E45" s="94">
        <f>[1]Capex!D34</f>
        <v>0</v>
      </c>
      <c r="F45" s="94">
        <f>[1]Capex!E34</f>
        <v>0</v>
      </c>
      <c r="G45" s="94">
        <f>[1]Capex!AL34</f>
        <v>0</v>
      </c>
      <c r="H45" s="94">
        <f>E45+G45</f>
        <v>0</v>
      </c>
      <c r="I45" s="95"/>
      <c r="J45" s="6"/>
    </row>
    <row r="46" spans="1:11" ht="34.5">
      <c r="A46" s="46"/>
      <c r="B46" s="26" t="s">
        <v>77</v>
      </c>
      <c r="C46" s="108">
        <v>1</v>
      </c>
      <c r="D46" s="94">
        <v>61.94</v>
      </c>
      <c r="E46" s="94">
        <v>0</v>
      </c>
      <c r="F46" s="94">
        <v>0</v>
      </c>
      <c r="G46" s="94">
        <v>0</v>
      </c>
      <c r="H46" s="94">
        <v>0</v>
      </c>
      <c r="I46" s="95"/>
      <c r="J46" s="6"/>
    </row>
    <row r="47" spans="1:11" ht="17.25">
      <c r="A47" s="47"/>
      <c r="B47" s="40" t="s">
        <v>25</v>
      </c>
      <c r="C47" s="103"/>
      <c r="D47" s="104"/>
      <c r="E47" s="104"/>
      <c r="F47" s="104">
        <v>0</v>
      </c>
      <c r="G47" s="104">
        <v>0</v>
      </c>
      <c r="H47" s="24">
        <f>G47+E47</f>
        <v>0</v>
      </c>
      <c r="I47" s="40"/>
      <c r="J47" s="48"/>
    </row>
    <row r="48" spans="1:11" ht="17.25">
      <c r="A48" s="49">
        <v>3</v>
      </c>
      <c r="B48" s="15" t="s">
        <v>26</v>
      </c>
      <c r="C48" s="17">
        <f>C42+C38</f>
        <v>19</v>
      </c>
      <c r="D48" s="17">
        <f t="shared" ref="D48:H48" si="12">D42+D38</f>
        <v>689.99638370299999</v>
      </c>
      <c r="E48" s="17">
        <f t="shared" si="12"/>
        <v>0.74</v>
      </c>
      <c r="F48" s="17">
        <f t="shared" si="12"/>
        <v>10.4</v>
      </c>
      <c r="G48" s="17">
        <f t="shared" si="12"/>
        <v>0</v>
      </c>
      <c r="H48" s="17">
        <f t="shared" si="12"/>
        <v>0.74</v>
      </c>
      <c r="I48" s="50" t="s">
        <v>27</v>
      </c>
      <c r="J48" s="6"/>
    </row>
    <row r="49" spans="1:10" ht="17.25">
      <c r="A49" s="43">
        <v>4</v>
      </c>
      <c r="B49" s="15" t="s">
        <v>28</v>
      </c>
      <c r="C49" s="51"/>
      <c r="D49" s="25"/>
      <c r="E49" s="25"/>
      <c r="F49" s="17">
        <v>334.8</v>
      </c>
      <c r="G49" s="17">
        <v>2.2000000000000002</v>
      </c>
      <c r="H49" s="17">
        <v>2.2000000000000002</v>
      </c>
      <c r="I49" s="50"/>
      <c r="J49" s="6"/>
    </row>
    <row r="50" spans="1:10" ht="17.25">
      <c r="A50" s="43">
        <v>5</v>
      </c>
      <c r="B50" s="52" t="s">
        <v>29</v>
      </c>
      <c r="C50" s="51"/>
      <c r="D50" s="53"/>
      <c r="E50" s="53"/>
      <c r="F50" s="53"/>
      <c r="G50" s="54"/>
      <c r="H50" s="53">
        <f t="shared" si="2"/>
        <v>0</v>
      </c>
      <c r="I50" s="55"/>
      <c r="J50" s="6"/>
    </row>
    <row r="51" spans="1:10" s="1" customFormat="1" ht="17.25">
      <c r="A51" s="56"/>
      <c r="B51" s="7" t="s">
        <v>30</v>
      </c>
      <c r="C51" s="21">
        <f>C22+C26+C48+C49</f>
        <v>71</v>
      </c>
      <c r="D51" s="21">
        <f t="shared" ref="D51:H51" si="13">D22+D26+D48+D49</f>
        <v>6502.3502438350906</v>
      </c>
      <c r="E51" s="21">
        <f t="shared" si="13"/>
        <v>1079.5116448270001</v>
      </c>
      <c r="F51" s="21">
        <f t="shared" si="13"/>
        <v>2150.0081144999999</v>
      </c>
      <c r="G51" s="21">
        <f t="shared" si="13"/>
        <v>804.53</v>
      </c>
      <c r="H51" s="21">
        <f t="shared" si="13"/>
        <v>1884.0416448270003</v>
      </c>
      <c r="I51" s="26"/>
      <c r="J51" s="6"/>
    </row>
    <row r="52" spans="1:10">
      <c r="D52" s="57"/>
      <c r="F52" s="57"/>
      <c r="G52" s="58"/>
      <c r="H52" s="57"/>
    </row>
    <row r="53" spans="1:10">
      <c r="C53" s="105"/>
      <c r="D53" s="106"/>
      <c r="E53" s="106"/>
      <c r="F53" s="106"/>
      <c r="G53" s="107"/>
      <c r="H53" s="106"/>
    </row>
    <row r="54" spans="1:10">
      <c r="C54" s="106"/>
      <c r="D54" s="106"/>
      <c r="E54" s="106"/>
      <c r="F54" s="106"/>
      <c r="G54" s="106"/>
      <c r="H54" s="106"/>
    </row>
    <row r="55" spans="1:10">
      <c r="B55" s="60" t="s">
        <v>31</v>
      </c>
      <c r="D55" s="57"/>
    </row>
    <row r="56" spans="1:10">
      <c r="C56" s="62"/>
      <c r="D56" s="57"/>
      <c r="E56" s="63"/>
      <c r="F56" s="62"/>
      <c r="G56" s="63"/>
      <c r="H56" s="57"/>
    </row>
    <row r="57" spans="1:10">
      <c r="C57" s="62"/>
      <c r="D57" s="57"/>
      <c r="E57" s="63"/>
      <c r="F57" s="62"/>
      <c r="G57" s="63"/>
      <c r="H57" s="57"/>
    </row>
    <row r="58" spans="1:10">
      <c r="C58" s="62"/>
      <c r="D58" s="57"/>
      <c r="E58" s="57"/>
      <c r="F58" s="57"/>
      <c r="G58" s="57"/>
      <c r="H58" s="57"/>
    </row>
    <row r="59" spans="1:10">
      <c r="C59" s="62"/>
      <c r="D59" s="57"/>
      <c r="E59" s="63"/>
      <c r="F59" s="62"/>
      <c r="G59" s="63"/>
      <c r="H59" s="57"/>
    </row>
    <row r="60" spans="1:10">
      <c r="C60" s="62"/>
      <c r="D60" s="57"/>
      <c r="E60" s="63"/>
      <c r="F60" s="62"/>
      <c r="G60" s="63"/>
      <c r="H60" s="57"/>
    </row>
    <row r="61" spans="1:10">
      <c r="C61" s="62"/>
      <c r="D61" s="57"/>
      <c r="E61" s="63"/>
      <c r="F61" s="62"/>
      <c r="G61" s="63"/>
      <c r="H61" s="57"/>
    </row>
    <row r="62" spans="1:10">
      <c r="C62" s="62"/>
      <c r="D62" s="57"/>
      <c r="E62" s="63"/>
      <c r="F62" s="62"/>
      <c r="G62" s="63"/>
      <c r="H62" s="57"/>
    </row>
    <row r="63" spans="1:10">
      <c r="C63" s="57"/>
      <c r="D63" s="57"/>
      <c r="E63" s="57"/>
      <c r="F63" s="57"/>
      <c r="G63" s="57"/>
      <c r="H63" s="57"/>
    </row>
    <row r="64" spans="1:10">
      <c r="C64" s="57"/>
      <c r="D64" s="57"/>
      <c r="E64" s="57"/>
      <c r="F64" s="57"/>
      <c r="G64" s="57"/>
      <c r="H64" s="57"/>
    </row>
    <row r="65" spans="3:8">
      <c r="D65" s="57"/>
      <c r="E65" s="57"/>
      <c r="H65" s="57"/>
    </row>
    <row r="66" spans="3:8">
      <c r="C66" s="62"/>
      <c r="D66" s="57"/>
      <c r="E66" s="57"/>
      <c r="F66" s="57"/>
      <c r="G66" s="57"/>
      <c r="H66" s="57"/>
    </row>
    <row r="67" spans="3:8">
      <c r="C67" s="57"/>
      <c r="D67" s="57"/>
      <c r="E67" s="57"/>
    </row>
    <row r="69" spans="3:8">
      <c r="C69" s="62"/>
      <c r="D69" s="57"/>
      <c r="E69" s="57"/>
    </row>
    <row r="71" spans="3:8">
      <c r="C71" s="57"/>
      <c r="D71" s="57"/>
      <c r="E71" s="57"/>
    </row>
    <row r="75" spans="3:8">
      <c r="D75" s="57"/>
    </row>
    <row r="76" spans="3:8">
      <c r="C76" s="57"/>
      <c r="D76" s="57"/>
      <c r="E76" s="57"/>
      <c r="F76" s="57"/>
      <c r="G76" s="57"/>
      <c r="H76" s="57"/>
    </row>
  </sheetData>
  <mergeCells count="3">
    <mergeCell ref="B1:E1"/>
    <mergeCell ref="A26:A37"/>
    <mergeCell ref="A39:A41"/>
  </mergeCells>
  <pageMargins left="0.7" right="0.7" top="0.75" bottom="0.75" header="0.3" footer="0.3"/>
  <pageSetup paperSize="9" scale="40" orientation="landscape" r:id="rId1"/>
  <colBreaks count="1" manualBreakCount="1">
    <brk id="10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>
  <dimension ref="A1:H18"/>
  <sheetViews>
    <sheetView workbookViewId="0">
      <selection activeCell="C32" sqref="C32"/>
    </sheetView>
  </sheetViews>
  <sheetFormatPr defaultRowHeight="15"/>
  <cols>
    <col min="1" max="1" width="19.85546875" customWidth="1"/>
    <col min="2" max="2" width="19" bestFit="1" customWidth="1"/>
    <col min="3" max="3" width="20.42578125" customWidth="1"/>
    <col min="4" max="4" width="19.28515625" bestFit="1" customWidth="1"/>
    <col min="5" max="5" width="19.28515625" customWidth="1"/>
    <col min="6" max="6" width="15.140625" customWidth="1"/>
    <col min="7" max="7" width="15.85546875" customWidth="1"/>
    <col min="8" max="8" width="12" bestFit="1" customWidth="1"/>
    <col min="9" max="9" width="9.7109375" customWidth="1"/>
    <col min="10" max="10" width="10.140625" customWidth="1"/>
  </cols>
  <sheetData>
    <row r="1" spans="1:8" ht="15.75">
      <c r="A1" s="118" t="s">
        <v>46</v>
      </c>
      <c r="B1" s="118"/>
      <c r="C1" s="118"/>
      <c r="D1" s="118"/>
      <c r="E1" s="118"/>
      <c r="F1" s="118"/>
      <c r="G1" s="118"/>
      <c r="H1" s="118"/>
    </row>
    <row r="2" spans="1:8" ht="15.75">
      <c r="A2" s="119" t="s">
        <v>34</v>
      </c>
      <c r="B2" s="119"/>
      <c r="C2" s="119"/>
      <c r="D2" s="119"/>
      <c r="E2" s="119"/>
      <c r="F2" s="119"/>
      <c r="G2" s="119"/>
      <c r="H2" s="119"/>
    </row>
    <row r="3" spans="1:8" ht="43.5" customHeight="1">
      <c r="A3" s="64"/>
      <c r="B3" s="64"/>
      <c r="C3" s="119" t="s">
        <v>35</v>
      </c>
      <c r="D3" s="119" t="s">
        <v>36</v>
      </c>
      <c r="E3" s="119" t="s">
        <v>71</v>
      </c>
      <c r="F3" s="120" t="s">
        <v>74</v>
      </c>
      <c r="G3" s="121"/>
      <c r="H3" s="64" t="s">
        <v>37</v>
      </c>
    </row>
    <row r="4" spans="1:8" ht="31.5">
      <c r="A4" s="64"/>
      <c r="B4" s="64"/>
      <c r="C4" s="119"/>
      <c r="D4" s="119"/>
      <c r="E4" s="119"/>
      <c r="F4" s="64" t="s">
        <v>38</v>
      </c>
      <c r="G4" s="102" t="s">
        <v>75</v>
      </c>
      <c r="H4" s="65">
        <f>'MOS Capex Format'!J1</f>
        <v>46203</v>
      </c>
    </row>
    <row r="5" spans="1:8" ht="15.75" customHeight="1">
      <c r="A5" s="126" t="s">
        <v>66</v>
      </c>
      <c r="B5" s="126"/>
      <c r="C5" s="100">
        <f>'MOS Capex Format'!C48</f>
        <v>19</v>
      </c>
      <c r="D5" s="101">
        <f>'MOS Capex Format'!D48</f>
        <v>689.99638370299999</v>
      </c>
      <c r="E5" s="101">
        <f>'MOS Capex Format'!E48</f>
        <v>0.74</v>
      </c>
      <c r="F5" s="101">
        <f>'MOS Capex Format'!F48</f>
        <v>10.4</v>
      </c>
      <c r="G5" s="101">
        <f>'MOS Capex Format'!G48</f>
        <v>0</v>
      </c>
      <c r="H5" s="101">
        <f>'MOS Capex Format'!H48</f>
        <v>0.74</v>
      </c>
    </row>
    <row r="6" spans="1:8" ht="15.75">
      <c r="A6" s="125" t="s">
        <v>67</v>
      </c>
      <c r="B6" s="125"/>
      <c r="C6" s="100">
        <f>SUM(C8:C13)</f>
        <v>52</v>
      </c>
      <c r="D6" s="101">
        <f t="shared" ref="D6:H6" si="0">SUM(D8:D13)</f>
        <v>5812.3538601320897</v>
      </c>
      <c r="E6" s="101">
        <f t="shared" si="0"/>
        <v>1078.771644827</v>
      </c>
      <c r="F6" s="101">
        <f t="shared" si="0"/>
        <v>1516.3</v>
      </c>
      <c r="G6" s="101">
        <f t="shared" si="0"/>
        <v>630.01523779999991</v>
      </c>
      <c r="H6" s="101">
        <f t="shared" si="0"/>
        <v>1708.7868826269998</v>
      </c>
    </row>
    <row r="7" spans="1:8" ht="15.75">
      <c r="A7" s="127" t="s">
        <v>68</v>
      </c>
      <c r="B7" s="127"/>
      <c r="C7" s="98">
        <f>C6+C5</f>
        <v>71</v>
      </c>
      <c r="D7" s="96">
        <f t="shared" ref="D7:H7" si="1">D6+D5</f>
        <v>6502.3502438350897</v>
      </c>
      <c r="E7" s="96">
        <f t="shared" si="1"/>
        <v>1079.5116448270001</v>
      </c>
      <c r="F7" s="96">
        <f t="shared" si="1"/>
        <v>1526.7</v>
      </c>
      <c r="G7" s="96">
        <f t="shared" si="1"/>
        <v>630.01523779999991</v>
      </c>
      <c r="H7" s="96">
        <f t="shared" si="1"/>
        <v>1709.5268826269998</v>
      </c>
    </row>
    <row r="8" spans="1:8" ht="15.75">
      <c r="A8" s="122" t="s">
        <v>69</v>
      </c>
      <c r="B8" s="66" t="s">
        <v>39</v>
      </c>
      <c r="C8" s="67">
        <f>'MOS Capex Format'!C10+'MOS Capex Format'!C19</f>
        <v>28</v>
      </c>
      <c r="D8" s="68">
        <f>'MOS Capex Format'!D10+'MOS Capex Format'!D19</f>
        <v>253.49582877189994</v>
      </c>
      <c r="E8" s="68">
        <f>'MOS Capex Format'!E10+'MOS Capex Format'!E19</f>
        <v>0.16820350000000001</v>
      </c>
      <c r="F8" s="68">
        <f>'MOS Capex Format'!F10+'MOS Capex Format'!F19</f>
        <v>62</v>
      </c>
      <c r="G8" s="68">
        <f>'MOS Capex Format'!G10+'MOS Capex Format'!G19</f>
        <v>0.75370680000000001</v>
      </c>
      <c r="H8" s="68">
        <f>'MOS Capex Format'!H10+'MOS Capex Format'!H19</f>
        <v>0.92191030000000007</v>
      </c>
    </row>
    <row r="9" spans="1:8" ht="15.75">
      <c r="A9" s="123"/>
      <c r="B9" s="66" t="s">
        <v>40</v>
      </c>
      <c r="C9" s="67">
        <f>'MOS Capex Format'!C11+'MOS Capex Format'!C20</f>
        <v>10</v>
      </c>
      <c r="D9" s="68">
        <f>'MOS Capex Format'!D11+'MOS Capex Format'!D20</f>
        <v>116.63774051200002</v>
      </c>
      <c r="E9" s="68">
        <f>'MOS Capex Format'!E11+'MOS Capex Format'!E20</f>
        <v>37.735304046999993</v>
      </c>
      <c r="F9" s="68">
        <f>'MOS Capex Format'!F11+'MOS Capex Format'!F20</f>
        <v>63.3</v>
      </c>
      <c r="G9" s="68">
        <f>'MOS Capex Format'!G11+'MOS Capex Format'!G20</f>
        <v>10.938883499999999</v>
      </c>
      <c r="H9" s="68">
        <f>'MOS Capex Format'!H11+'MOS Capex Format'!H20</f>
        <v>48.674187546999988</v>
      </c>
    </row>
    <row r="10" spans="1:8" ht="18" customHeight="1">
      <c r="A10" s="124"/>
      <c r="B10" s="66" t="s">
        <v>41</v>
      </c>
      <c r="C10" s="67">
        <f>'MOS Capex Format'!C12+'MOS Capex Format'!C21</f>
        <v>4</v>
      </c>
      <c r="D10" s="68">
        <f>'MOS Capex Format'!D12+'MOS Capex Format'!D21</f>
        <v>73.911584263999998</v>
      </c>
      <c r="E10" s="68">
        <f>'MOS Capex Format'!E12+'MOS Capex Format'!E21</f>
        <v>32.478137279999999</v>
      </c>
      <c r="F10" s="68">
        <f>'MOS Capex Format'!F12+'MOS Capex Format'!F21</f>
        <v>34</v>
      </c>
      <c r="G10" s="68">
        <f>'MOS Capex Format'!G12+'MOS Capex Format'!G21</f>
        <v>7.0826475000000002</v>
      </c>
      <c r="H10" s="68">
        <f>'MOS Capex Format'!H12+'MOS Capex Format'!H21</f>
        <v>39.560784779999999</v>
      </c>
    </row>
    <row r="11" spans="1:8" ht="15.75">
      <c r="A11" s="125" t="s">
        <v>70</v>
      </c>
      <c r="B11" s="66" t="s">
        <v>39</v>
      </c>
      <c r="C11" s="67">
        <f>'MOS Capex Format'!C6+'MOS Capex Format'!C15</f>
        <v>9</v>
      </c>
      <c r="D11" s="68">
        <f>'MOS Capex Format'!D6+'MOS Capex Format'!D15</f>
        <v>5368.3087065841901</v>
      </c>
      <c r="E11" s="68">
        <f>'MOS Capex Format'!E6+'MOS Capex Format'!E15</f>
        <v>1008.39</v>
      </c>
      <c r="F11" s="68">
        <f>'MOS Capex Format'!F6+'MOS Capex Format'!F15</f>
        <v>1357</v>
      </c>
      <c r="G11" s="68">
        <f>'MOS Capex Format'!G6+'MOS Capex Format'!G15</f>
        <v>611.2399999999999</v>
      </c>
      <c r="H11" s="68">
        <f>'MOS Capex Format'!H6+'MOS Capex Format'!H15</f>
        <v>1619.6299999999999</v>
      </c>
    </row>
    <row r="12" spans="1:8" ht="15.75">
      <c r="A12" s="125"/>
      <c r="B12" s="66" t="s">
        <v>40</v>
      </c>
      <c r="C12" s="67">
        <f>'MOS Capex Format'!C7+'MOS Capex Format'!C16</f>
        <v>1</v>
      </c>
      <c r="D12" s="68">
        <f>'MOS Capex Format'!D7+'MOS Capex Format'!D16</f>
        <v>0</v>
      </c>
      <c r="E12" s="68">
        <f>'MOS Capex Format'!E7+'MOS Capex Format'!E16</f>
        <v>0</v>
      </c>
      <c r="F12" s="68">
        <f>'MOS Capex Format'!F7+'MOS Capex Format'!F16</f>
        <v>0</v>
      </c>
      <c r="G12" s="68">
        <f>'MOS Capex Format'!G7+'MOS Capex Format'!G16</f>
        <v>0</v>
      </c>
      <c r="H12" s="68">
        <f>'MOS Capex Format'!H7+'MOS Capex Format'!H16</f>
        <v>0</v>
      </c>
    </row>
    <row r="13" spans="1:8" ht="15.75">
      <c r="A13" s="125"/>
      <c r="B13" s="66" t="s">
        <v>41</v>
      </c>
      <c r="C13" s="67">
        <f>'MOS Capex Format'!C8+'MOS Capex Format'!C17</f>
        <v>0</v>
      </c>
      <c r="D13" s="68">
        <f>'MOS Capex Format'!D8+'MOS Capex Format'!D17</f>
        <v>0</v>
      </c>
      <c r="E13" s="68">
        <f>'MOS Capex Format'!E8+'MOS Capex Format'!E17</f>
        <v>0</v>
      </c>
      <c r="F13" s="68">
        <f>'MOS Capex Format'!F8+'MOS Capex Format'!F17</f>
        <v>0</v>
      </c>
      <c r="G13" s="68">
        <f>'MOS Capex Format'!G8+'MOS Capex Format'!G17</f>
        <v>0</v>
      </c>
      <c r="H13" s="68">
        <f>'MOS Capex Format'!H8+'MOS Capex Format'!H17</f>
        <v>0</v>
      </c>
    </row>
    <row r="14" spans="1:8" ht="15.75">
      <c r="A14" s="117" t="s">
        <v>42</v>
      </c>
      <c r="B14" s="117"/>
      <c r="C14" s="117"/>
      <c r="D14" s="117"/>
      <c r="E14" s="117"/>
      <c r="F14" s="117"/>
      <c r="G14" s="117"/>
      <c r="H14" s="117"/>
    </row>
    <row r="15" spans="1:8" ht="31.5">
      <c r="A15" s="66" t="s">
        <v>43</v>
      </c>
      <c r="B15" s="69"/>
      <c r="C15" s="70"/>
      <c r="D15" s="71"/>
      <c r="E15" s="71"/>
      <c r="F15" s="68">
        <f>'MOS Capex Format'!F26</f>
        <v>288.50811449999998</v>
      </c>
      <c r="G15" s="68">
        <f>'MOS Capex Format'!G26</f>
        <v>172.31476220000002</v>
      </c>
      <c r="H15" s="68">
        <f>'MOS Capex Format'!H26</f>
        <v>172.31476220000002</v>
      </c>
    </row>
    <row r="16" spans="1:8" ht="31.5">
      <c r="A16" s="66" t="s">
        <v>44</v>
      </c>
      <c r="B16" s="72"/>
      <c r="C16" s="70"/>
      <c r="D16" s="70"/>
      <c r="E16" s="70"/>
      <c r="F16" s="68">
        <f>'MOS Capex Format'!F49</f>
        <v>334.8</v>
      </c>
      <c r="G16" s="68">
        <f>'MOS Capex Format'!G49</f>
        <v>2.2000000000000002</v>
      </c>
      <c r="H16" s="68">
        <f>'MOS Capex Format'!H49</f>
        <v>2.2000000000000002</v>
      </c>
    </row>
    <row r="17" spans="1:8" ht="31.5">
      <c r="A17" s="66" t="s">
        <v>45</v>
      </c>
      <c r="B17" s="72"/>
      <c r="C17" s="70"/>
      <c r="D17" s="73"/>
      <c r="E17" s="73"/>
      <c r="F17" s="70"/>
      <c r="G17" s="70"/>
      <c r="H17" s="70"/>
    </row>
    <row r="18" spans="1:8" ht="15.75">
      <c r="A18" s="74" t="s">
        <v>30</v>
      </c>
      <c r="B18" s="75"/>
      <c r="C18" s="99">
        <f>C7+C15+C16+C17</f>
        <v>71</v>
      </c>
      <c r="D18" s="97">
        <f t="shared" ref="D18:H18" si="2">D7+D15+D16+D17</f>
        <v>6502.3502438350897</v>
      </c>
      <c r="E18" s="97">
        <f t="shared" si="2"/>
        <v>1079.5116448270001</v>
      </c>
      <c r="F18" s="97">
        <f t="shared" si="2"/>
        <v>2150.0081144999999</v>
      </c>
      <c r="G18" s="97">
        <f t="shared" si="2"/>
        <v>804.53</v>
      </c>
      <c r="H18" s="97">
        <f t="shared" si="2"/>
        <v>1884.041644827</v>
      </c>
    </row>
  </sheetData>
  <mergeCells count="12">
    <mergeCell ref="A14:H14"/>
    <mergeCell ref="A1:H1"/>
    <mergeCell ref="A2:H2"/>
    <mergeCell ref="C3:C4"/>
    <mergeCell ref="D3:D4"/>
    <mergeCell ref="F3:G3"/>
    <mergeCell ref="A8:A10"/>
    <mergeCell ref="A11:A13"/>
    <mergeCell ref="A5:B5"/>
    <mergeCell ref="A6:B6"/>
    <mergeCell ref="A7:B7"/>
    <mergeCell ref="E3:E4"/>
  </mergeCells>
  <pageMargins left="0.7" right="0.7" top="0.75" bottom="0.75" header="0.3" footer="0.3"/>
  <pageSetup paperSize="9" scale="7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3:H13"/>
  <sheetViews>
    <sheetView workbookViewId="0">
      <selection activeCell="E25" sqref="D25:E25"/>
    </sheetView>
  </sheetViews>
  <sheetFormatPr defaultRowHeight="15"/>
  <cols>
    <col min="2" max="2" width="44.5703125" customWidth="1"/>
    <col min="3" max="6" width="20.7109375" customWidth="1"/>
  </cols>
  <sheetData>
    <row r="3" spans="2:8" ht="18">
      <c r="B3" s="128" t="s">
        <v>60</v>
      </c>
      <c r="C3" s="128"/>
      <c r="D3" s="91">
        <f>'Format Projects-PMC'!H4</f>
        <v>46203</v>
      </c>
      <c r="E3" s="84"/>
      <c r="F3" s="84"/>
    </row>
    <row r="6" spans="2:8" ht="39.950000000000003" customHeight="1">
      <c r="B6" s="76" t="s">
        <v>3</v>
      </c>
      <c r="C6" s="77" t="s">
        <v>47</v>
      </c>
      <c r="D6" s="77" t="s">
        <v>48</v>
      </c>
      <c r="E6" s="86"/>
      <c r="F6" s="86"/>
      <c r="H6" s="76" t="s">
        <v>54</v>
      </c>
    </row>
    <row r="7" spans="2:8" ht="39.950000000000003" customHeight="1">
      <c r="B7" s="78" t="s">
        <v>49</v>
      </c>
      <c r="C7" s="83">
        <f>SUM(C8:C10)</f>
        <v>10</v>
      </c>
      <c r="D7" s="83">
        <f>SUM(D8:D10)</f>
        <v>42</v>
      </c>
      <c r="E7" s="88"/>
      <c r="F7" s="88"/>
      <c r="H7" s="87">
        <f>C7+D7</f>
        <v>52</v>
      </c>
    </row>
    <row r="8" spans="2:8" ht="39.950000000000003" customHeight="1">
      <c r="B8" s="78" t="s">
        <v>50</v>
      </c>
      <c r="C8" s="83">
        <f>'Format Projects-PMC'!C11</f>
        <v>9</v>
      </c>
      <c r="D8" s="83">
        <v>28</v>
      </c>
      <c r="E8" s="88"/>
      <c r="F8" s="88"/>
      <c r="H8" s="87">
        <f>C8+D8</f>
        <v>37</v>
      </c>
    </row>
    <row r="9" spans="2:8" ht="39.950000000000003" customHeight="1">
      <c r="B9" s="78" t="s">
        <v>51</v>
      </c>
      <c r="C9" s="83">
        <f>'Format Projects-PMC'!C12</f>
        <v>1</v>
      </c>
      <c r="D9" s="83">
        <v>10</v>
      </c>
      <c r="E9" s="88"/>
      <c r="F9" s="88"/>
      <c r="H9" s="87">
        <f>C9+D9</f>
        <v>11</v>
      </c>
    </row>
    <row r="10" spans="2:8" ht="39.950000000000003" customHeight="1">
      <c r="B10" s="80" t="s">
        <v>52</v>
      </c>
      <c r="C10" s="83">
        <f>'Format Projects-PMC'!C13</f>
        <v>0</v>
      </c>
      <c r="D10" s="83">
        <v>4</v>
      </c>
      <c r="E10" s="88"/>
      <c r="F10" s="88"/>
      <c r="H10" s="87">
        <f>C10+D10</f>
        <v>4</v>
      </c>
    </row>
    <row r="11" spans="2:8" ht="39.950000000000003" customHeight="1">
      <c r="B11" s="81" t="s">
        <v>53</v>
      </c>
      <c r="C11" s="79">
        <v>3</v>
      </c>
      <c r="D11" s="83">
        <v>0</v>
      </c>
      <c r="E11" s="89"/>
      <c r="F11" s="89"/>
      <c r="H11" s="85"/>
    </row>
    <row r="12" spans="2:8" ht="11.25" customHeight="1">
      <c r="B12" s="82"/>
    </row>
    <row r="13" spans="2:8" ht="23.25" customHeight="1"/>
  </sheetData>
  <mergeCells count="1">
    <mergeCell ref="B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MOS Capex Format</vt:lpstr>
      <vt:lpstr>Format Projects-PMC</vt:lpstr>
      <vt:lpstr>Details of Ongoing Projects</vt:lpstr>
      <vt:lpstr>'MOS Capex Format'!Print_Area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RSP06979</dc:creator>
  <cp:lastModifiedBy>USER-1</cp:lastModifiedBy>
  <cp:lastPrinted>2025-12-02T10:27:43Z</cp:lastPrinted>
  <dcterms:created xsi:type="dcterms:W3CDTF">2025-02-03T09:31:56Z</dcterms:created>
  <dcterms:modified xsi:type="dcterms:W3CDTF">2026-07-06T10:17:06Z</dcterms:modified>
</cp:coreProperties>
</file>