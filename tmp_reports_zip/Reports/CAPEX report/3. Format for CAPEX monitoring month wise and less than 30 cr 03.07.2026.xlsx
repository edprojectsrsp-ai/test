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0" yWindow="495" windowWidth="19425" windowHeight="11025" tabRatio="599" firstSheet="7" activeTab="7"/>
  </bookViews>
  <sheets>
    <sheet name="SUMMARY" sheetId="3" state="hidden" r:id="rId1"/>
    <sheet name="Month-wise plan RE" sheetId="86" state="hidden" r:id="rId2"/>
    <sheet name="Month-wise plan" sheetId="84" state="hidden" r:id="rId3"/>
    <sheet name="MEP" sheetId="23" state="hidden" r:id="rId4"/>
    <sheet name="expansion excell" sheetId="38" state="hidden" r:id="rId5"/>
    <sheet name="Sheet2" sheetId="51" state="hidden" r:id="rId6"/>
    <sheet name="Table 2.4 &amp; 2.9" sheetId="52" state="hidden" r:id="rId7"/>
    <sheet name="&lt;30 Cr format" sheetId="85" r:id="rId8"/>
  </sheets>
  <externalReferences>
    <externalReference r:id="rId9"/>
    <externalReference r:id="rId10"/>
  </externalReferences>
  <definedNames>
    <definedName name="_1" localSheetId="2">#REF!</definedName>
    <definedName name="_1" localSheetId="1">#REF!</definedName>
    <definedName name="_1">#REF!</definedName>
    <definedName name="_13" localSheetId="2">#REF!</definedName>
    <definedName name="_13" localSheetId="1">#REF!</definedName>
    <definedName name="_13">#REF!</definedName>
    <definedName name="_15" localSheetId="2">#REF!</definedName>
    <definedName name="_15" localSheetId="1">#REF!</definedName>
    <definedName name="_15">#REF!</definedName>
    <definedName name="_1Excel_BuiltIn_Print_Titles_3_1" localSheetId="2">(#REF!,#REF!)</definedName>
    <definedName name="_1Excel_BuiltIn_Print_Titles_3_1" localSheetId="1">(#REF!,#REF!)</definedName>
    <definedName name="_1Excel_BuiltIn_Print_Titles_3_1">(#REF!,#REF!)</definedName>
    <definedName name="_2" localSheetId="2">#REF!</definedName>
    <definedName name="_2" localSheetId="1">#REF!</definedName>
    <definedName name="_2">#REF!</definedName>
    <definedName name="_3" localSheetId="2">#REF!</definedName>
    <definedName name="_3" localSheetId="1">#REF!</definedName>
    <definedName name="_3">#REF!</definedName>
    <definedName name="_4" localSheetId="2">#REF!</definedName>
    <definedName name="_4" localSheetId="1">#REF!</definedName>
    <definedName name="_4">#REF!</definedName>
    <definedName name="_5" localSheetId="2">#REF!</definedName>
    <definedName name="_5" localSheetId="1">#REF!</definedName>
    <definedName name="_5">#REF!</definedName>
    <definedName name="_7" localSheetId="2">#REF!</definedName>
    <definedName name="_7" localSheetId="1">#REF!</definedName>
    <definedName name="_7">#REF!</definedName>
    <definedName name="_xlnm._FilterDatabase" localSheetId="2" hidden="1">'Month-wise plan'!$A$6:$CZ$66</definedName>
    <definedName name="_xlnm._FilterDatabase" localSheetId="1" hidden="1">'Month-wise plan RE'!$A$6:$CZ$66</definedName>
    <definedName name="_X16785" localSheetId="2">#REF!</definedName>
    <definedName name="_X16785" localSheetId="1">#REF!</definedName>
    <definedName name="_X16785">#REF!</definedName>
    <definedName name="a" localSheetId="2">(#REF!,#REF!)</definedName>
    <definedName name="a" localSheetId="1">(#REF!,#REF!)</definedName>
    <definedName name="a">(#REF!,#REF!)</definedName>
    <definedName name="aaa" localSheetId="2">(#REF!,#REF!)</definedName>
    <definedName name="aaa" localSheetId="1">(#REF!,#REF!)</definedName>
    <definedName name="aaa">(#REF!,#REF!)</definedName>
    <definedName name="abc" localSheetId="2">(#REF!,#REF!)</definedName>
    <definedName name="abc" localSheetId="1">(#REF!,#REF!)</definedName>
    <definedName name="abc">(#REF!,#REF!)</definedName>
    <definedName name="ann" localSheetId="2">(#REF!,#REF!)</definedName>
    <definedName name="ann" localSheetId="1">(#REF!,#REF!)</definedName>
    <definedName name="ann">(#REF!,#REF!)</definedName>
    <definedName name="APPROVAL" localSheetId="2">#REF!</definedName>
    <definedName name="APPROVAL" localSheetId="1">#REF!</definedName>
    <definedName name="APPROVAL">#REF!</definedName>
    <definedName name="ASP" localSheetId="2">#REF!</definedName>
    <definedName name="ASP" localSheetId="1">#REF!</definedName>
    <definedName name="ASP">#REF!</definedName>
    <definedName name="AUTHORITY" localSheetId="2">#REF!</definedName>
    <definedName name="AUTHORITY" localSheetId="1">#REF!</definedName>
    <definedName name="AUTHORITY">#REF!</definedName>
    <definedName name="b" localSheetId="2">(#REF!,#REF!)</definedName>
    <definedName name="b" localSheetId="1">(#REF!,#REF!)</definedName>
    <definedName name="b">(#REF!,#REF!)</definedName>
    <definedName name="bsp" localSheetId="2">(#REF!,#REF!)</definedName>
    <definedName name="bsp" localSheetId="1">(#REF!,#REF!)</definedName>
    <definedName name="bsp">(#REF!,#REF!)</definedName>
    <definedName name="CFP" localSheetId="2">(#REF!,#REF!)</definedName>
    <definedName name="CFP" localSheetId="1">(#REF!,#REF!)</definedName>
    <definedName name="CFP">(#REF!,#REF!)</definedName>
    <definedName name="DATE_OF" localSheetId="2">#REF!</definedName>
    <definedName name="DATE_OF" localSheetId="1">#REF!</definedName>
    <definedName name="DATE_OF">#REF!</definedName>
    <definedName name="DURATION" localSheetId="2">#REF!</definedName>
    <definedName name="DURATION" localSheetId="1">#REF!</definedName>
    <definedName name="DURATION">#REF!</definedName>
    <definedName name="efg" localSheetId="2">#REF!</definedName>
    <definedName name="efg" localSheetId="1">#REF!</definedName>
    <definedName name="efg">#REF!</definedName>
    <definedName name="Excel_BuiltIn_Print_Area_2_1">"$#REF!.$A$1:$I$71"</definedName>
    <definedName name="Excel_BuiltIn_Print_Area_3" localSheetId="2">#REF!</definedName>
    <definedName name="Excel_BuiltIn_Print_Area_3" localSheetId="1">#REF!</definedName>
    <definedName name="Excel_BuiltIn_Print_Area_3">#REF!</definedName>
    <definedName name="Excel_BuiltIn_Print_Area_5_1">"$#REF!.$A$65:$R$94"</definedName>
    <definedName name="Excel_BuiltIn_Print_Titles_12_1">('[1]MOD _ 1'!$A$1:$B$65536,'[1]MOD _ 1'!$A$2:$D$11)</definedName>
    <definedName name="Excel_BuiltIn_Print_Titles_3_1_1" localSheetId="2">(#REF!,#REF!)</definedName>
    <definedName name="Excel_BuiltIn_Print_Titles_3_1_1" localSheetId="1">(#REF!,#REF!)</definedName>
    <definedName name="Excel_BuiltIn_Print_Titles_3_1_1">(#REF!,#REF!)</definedName>
    <definedName name="Excel_BuiltIn_Print_Titles_3_1_1_1" localSheetId="2">(#REF!,#REF!)</definedName>
    <definedName name="Excel_BuiltIn_Print_Titles_3_1_1_1" localSheetId="1">(#REF!,#REF!)</definedName>
    <definedName name="Excel_BuiltIn_Print_Titles_3_1_1_1">(#REF!,#REF!)</definedName>
    <definedName name="new" localSheetId="2">(#REF!,#REF!)</definedName>
    <definedName name="new" localSheetId="1">(#REF!,#REF!)</definedName>
    <definedName name="new">(#REF!,#REF!)</definedName>
    <definedName name="nkm" localSheetId="2">(#REF!,#REF!)</definedName>
    <definedName name="nkm" localSheetId="1">(#REF!,#REF!)</definedName>
    <definedName name="nkm">(#REF!,#REF!)</definedName>
    <definedName name="NO." localSheetId="2">#REF!</definedName>
    <definedName name="NO." localSheetId="1">#REF!</definedName>
    <definedName name="NO.">#REF!</definedName>
    <definedName name="OGOM" localSheetId="2">(#REF!,#REF!)</definedName>
    <definedName name="OGOM" localSheetId="1">(#REF!,#REF!)</definedName>
    <definedName name="OGOM">(#REF!,#REF!)</definedName>
    <definedName name="PLANT___R_D_CENTRE_FOR_IRON_AND_STEEL__SAIL__RANCHI" localSheetId="2">#REF!</definedName>
    <definedName name="PLANT___R_D_CENTRE_FOR_IRON_AND_STEEL__SAIL__RANCHI" localSheetId="1">#REF!</definedName>
    <definedName name="PLANT___R_D_CENTRE_FOR_IRON_AND_STEEL__SAIL__RANCHI">#REF!</definedName>
    <definedName name="_xlnm.Print_Area" localSheetId="2">'Month-wise plan'!$A$1:$CJ$78</definedName>
    <definedName name="_xlnm.Print_Area" localSheetId="1">'Month-wise plan RE'!$A$1:$CR$78</definedName>
    <definedName name="revised" localSheetId="2">(#REF!,#REF!)</definedName>
    <definedName name="revised" localSheetId="1">(#REF!,#REF!)</definedName>
    <definedName name="revised">(#REF!,#REF!)</definedName>
    <definedName name="RS._IN_LACS" localSheetId="2">#REF!</definedName>
    <definedName name="RS._IN_LACS" localSheetId="1">#REF!</definedName>
    <definedName name="RS._IN_LACS">#REF!</definedName>
    <definedName name="RSP" localSheetId="2">(#REF!,#REF!)</definedName>
    <definedName name="RSP" localSheetId="1">(#REF!,#REF!)</definedName>
    <definedName name="RSP">(#REF!,#REF!)</definedName>
    <definedName name="SANCTNG." localSheetId="2">#REF!</definedName>
    <definedName name="SANCTNG." localSheetId="1">#REF!</definedName>
    <definedName name="SANCTNG.">#REF!</definedName>
    <definedName name="SKV" localSheetId="2">#REF!</definedName>
    <definedName name="SKV" localSheetId="1">#REF!</definedName>
    <definedName name="SKV">#REF!</definedName>
    <definedName name="SL." localSheetId="2">#REF!</definedName>
    <definedName name="SL." localSheetId="1">#REF!</definedName>
    <definedName name="SL.">#REF!</definedName>
    <definedName name="Timeline_update" localSheetId="2">(#REF!,#REF!)</definedName>
    <definedName name="Timeline_update" localSheetId="1">(#REF!,#REF!)</definedName>
    <definedName name="Timeline_update">(#REF!,#REF!)</definedName>
    <definedName name="VISL" localSheetId="2">(#REF!,#REF!)</definedName>
    <definedName name="VISL" localSheetId="1">(#REF!,#REF!)</definedName>
    <definedName name="VISL">(#REF!,#REF!)</definedName>
    <definedName name="visl2" localSheetId="2">#REF!</definedName>
    <definedName name="visl2" localSheetId="1">#REF!</definedName>
    <definedName name="visl2">#REF!</definedName>
    <definedName name="x" localSheetId="2">#REF!</definedName>
    <definedName name="x" localSheetId="1">#REF!</definedName>
    <definedName name="x">#REF!</definedName>
  </definedNames>
  <calcPr calcId="124519"/>
</workbook>
</file>

<file path=xl/calcChain.xml><?xml version="1.0" encoding="utf-8"?>
<calcChain xmlns="http://schemas.openxmlformats.org/spreadsheetml/2006/main">
  <c r="E9" i="85"/>
  <c r="F9"/>
  <c r="G9"/>
  <c r="H9"/>
  <c r="I9"/>
  <c r="I12"/>
  <c r="J12"/>
  <c r="J9"/>
  <c r="S28"/>
  <c r="R25"/>
  <c r="CR16" i="86"/>
  <c r="CP57" l="1"/>
  <c r="BQ63" l="1"/>
  <c r="CW65"/>
  <c r="CX61"/>
  <c r="CX65" s="1"/>
  <c r="CW61"/>
  <c r="CP61"/>
  <c r="CP65" s="1"/>
  <c r="CO61"/>
  <c r="CO65" s="1"/>
  <c r="CH61"/>
  <c r="CH65" s="1"/>
  <c r="CG61"/>
  <c r="CG65" s="1"/>
  <c r="BZ61"/>
  <c r="BZ65" s="1"/>
  <c r="BY61"/>
  <c r="BY65" s="1"/>
  <c r="BR61"/>
  <c r="BR65" s="1"/>
  <c r="BQ61"/>
  <c r="BQ65" s="1"/>
  <c r="BJ61"/>
  <c r="BJ65" s="1"/>
  <c r="BB61"/>
  <c r="BB65" s="1"/>
  <c r="AT61"/>
  <c r="AT65" s="1"/>
  <c r="AL61"/>
  <c r="AL65" s="1"/>
  <c r="AD61"/>
  <c r="AD65" s="1"/>
  <c r="V61"/>
  <c r="V65" s="1"/>
  <c r="N61"/>
  <c r="N65" s="1"/>
  <c r="H61"/>
  <c r="H65" s="1"/>
  <c r="DE59"/>
  <c r="CX50"/>
  <c r="CX57" s="1"/>
  <c r="CX64" s="1"/>
  <c r="CW50"/>
  <c r="CW57" s="1"/>
  <c r="CW64" s="1"/>
  <c r="CP50"/>
  <c r="CP64" s="1"/>
  <c r="CO50"/>
  <c r="CH50"/>
  <c r="CH57" s="1"/>
  <c r="CH64" s="1"/>
  <c r="CG50"/>
  <c r="BZ50"/>
  <c r="BZ57" s="1"/>
  <c r="BZ64" s="1"/>
  <c r="BY50"/>
  <c r="BY57" s="1"/>
  <c r="BY64" s="1"/>
  <c r="BR50"/>
  <c r="BR57" s="1"/>
  <c r="BR64" s="1"/>
  <c r="BQ50"/>
  <c r="BJ50"/>
  <c r="BJ57" s="1"/>
  <c r="BJ64" s="1"/>
  <c r="BB50"/>
  <c r="BB57" s="1"/>
  <c r="BB64" s="1"/>
  <c r="AT50"/>
  <c r="AT57" s="1"/>
  <c r="AT64" s="1"/>
  <c r="AL50"/>
  <c r="AL57" s="1"/>
  <c r="AL64" s="1"/>
  <c r="AD50"/>
  <c r="AD57" s="1"/>
  <c r="AD64" s="1"/>
  <c r="V50"/>
  <c r="V57" s="1"/>
  <c r="V64" s="1"/>
  <c r="N50"/>
  <c r="N57" s="1"/>
  <c r="N64" s="1"/>
  <c r="H50"/>
  <c r="H57" s="1"/>
  <c r="H64" s="1"/>
  <c r="DE46"/>
  <c r="DE44"/>
  <c r="D44"/>
  <c r="D50" s="1"/>
  <c r="CX38"/>
  <c r="CW38"/>
  <c r="CP38"/>
  <c r="CO38"/>
  <c r="CO57" s="1"/>
  <c r="CH38"/>
  <c r="CG38"/>
  <c r="BZ38"/>
  <c r="BY38"/>
  <c r="BR38"/>
  <c r="BQ38"/>
  <c r="BJ38"/>
  <c r="BB38"/>
  <c r="AT38"/>
  <c r="AL38"/>
  <c r="AD38"/>
  <c r="V38"/>
  <c r="N38"/>
  <c r="H38"/>
  <c r="C38"/>
  <c r="C57" s="1"/>
  <c r="C64" s="1"/>
  <c r="D36"/>
  <c r="D35"/>
  <c r="D34"/>
  <c r="D33"/>
  <c r="DE32"/>
  <c r="D32"/>
  <c r="DE31"/>
  <c r="D31"/>
  <c r="D38" s="1"/>
  <c r="CX22"/>
  <c r="CW22"/>
  <c r="CP22"/>
  <c r="CO22"/>
  <c r="CH22"/>
  <c r="CG22"/>
  <c r="BZ22"/>
  <c r="BY22"/>
  <c r="BR22"/>
  <c r="BQ22"/>
  <c r="BJ22"/>
  <c r="BB22"/>
  <c r="AT22"/>
  <c r="AL22"/>
  <c r="AD22"/>
  <c r="V22"/>
  <c r="N22"/>
  <c r="H22"/>
  <c r="E22"/>
  <c r="C22"/>
  <c r="DE21"/>
  <c r="DH19"/>
  <c r="DI19" s="1"/>
  <c r="D19"/>
  <c r="DH18"/>
  <c r="DI18" s="1"/>
  <c r="DE18"/>
  <c r="G18"/>
  <c r="D18"/>
  <c r="DH17"/>
  <c r="DI17" s="1"/>
  <c r="DE17"/>
  <c r="G17"/>
  <c r="D17"/>
  <c r="DH16"/>
  <c r="DI16" s="1"/>
  <c r="DE16"/>
  <c r="G16"/>
  <c r="D16"/>
  <c r="DH15"/>
  <c r="DI15" s="1"/>
  <c r="DG15"/>
  <c r="DF15"/>
  <c r="DE15"/>
  <c r="G15"/>
  <c r="D15"/>
  <c r="D22" s="1"/>
  <c r="CX12"/>
  <c r="CX27" s="1"/>
  <c r="CX63" s="1"/>
  <c r="CW12"/>
  <c r="CW27" s="1"/>
  <c r="CW63" s="1"/>
  <c r="CW66" s="1"/>
  <c r="CP12"/>
  <c r="CO12"/>
  <c r="CH12"/>
  <c r="CH27" s="1"/>
  <c r="CH63" s="1"/>
  <c r="CG12"/>
  <c r="CG27" s="1"/>
  <c r="CG63" s="1"/>
  <c r="BZ12"/>
  <c r="BZ27" s="1"/>
  <c r="BZ63" s="1"/>
  <c r="BZ66" s="1"/>
  <c r="BX66" s="1"/>
  <c r="BY12"/>
  <c r="BY27" s="1"/>
  <c r="BY63" s="1"/>
  <c r="BR12"/>
  <c r="BR27" s="1"/>
  <c r="BR63" s="1"/>
  <c r="BQ12"/>
  <c r="BQ27" s="1"/>
  <c r="BJ12"/>
  <c r="BJ27" s="1"/>
  <c r="BJ63" s="1"/>
  <c r="BJ66" s="1"/>
  <c r="BH66" s="1"/>
  <c r="BB12"/>
  <c r="BB27" s="1"/>
  <c r="BB63" s="1"/>
  <c r="AT12"/>
  <c r="AT27" s="1"/>
  <c r="AT63" s="1"/>
  <c r="AT66" s="1"/>
  <c r="AR66" s="1"/>
  <c r="AL12"/>
  <c r="AL27" s="1"/>
  <c r="AL63" s="1"/>
  <c r="AD12"/>
  <c r="AD27" s="1"/>
  <c r="AD63" s="1"/>
  <c r="AD66" s="1"/>
  <c r="AB66" s="1"/>
  <c r="V12"/>
  <c r="V27" s="1"/>
  <c r="V63" s="1"/>
  <c r="N12"/>
  <c r="N27" s="1"/>
  <c r="N63" s="1"/>
  <c r="N66" s="1"/>
  <c r="DE12"/>
  <c r="H12"/>
  <c r="H27" s="1"/>
  <c r="H63" s="1"/>
  <c r="E12"/>
  <c r="E27" s="1"/>
  <c r="E63" s="1"/>
  <c r="C12"/>
  <c r="C27" s="1"/>
  <c r="C63" s="1"/>
  <c r="DE8"/>
  <c r="D8"/>
  <c r="D12" s="1"/>
  <c r="DE6"/>
  <c r="D6"/>
  <c r="D27" s="1"/>
  <c r="D63" s="1"/>
  <c r="BY12" i="84"/>
  <c r="CP27" i="86" l="1"/>
  <c r="CP63" s="1"/>
  <c r="CP66" s="1"/>
  <c r="CN66" s="1"/>
  <c r="DE22"/>
  <c r="DE38"/>
  <c r="CO64"/>
  <c r="CO27"/>
  <c r="CO63" s="1"/>
  <c r="DE65"/>
  <c r="CG57"/>
  <c r="CG64" s="1"/>
  <c r="CG66" s="1"/>
  <c r="BQ57"/>
  <c r="BQ64" s="1"/>
  <c r="BQ66" s="1"/>
  <c r="AW66"/>
  <c r="AY66"/>
  <c r="BY66"/>
  <c r="D57"/>
  <c r="D64" s="1"/>
  <c r="H66"/>
  <c r="V66"/>
  <c r="T66" s="1"/>
  <c r="AL66"/>
  <c r="AJ66" s="1"/>
  <c r="BB66"/>
  <c r="AZ66" s="1"/>
  <c r="BR66"/>
  <c r="BP66" s="1"/>
  <c r="CH66"/>
  <c r="CF66" s="1"/>
  <c r="CX66"/>
  <c r="CV66" s="1"/>
  <c r="Q66"/>
  <c r="S66"/>
  <c r="K66"/>
  <c r="L66"/>
  <c r="AG66"/>
  <c r="AI66"/>
  <c r="CS66"/>
  <c r="CU66"/>
  <c r="CO66"/>
  <c r="DE50"/>
  <c r="DE61"/>
  <c r="AT66" i="84"/>
  <c r="AL66"/>
  <c r="CE66" i="86" l="1"/>
  <c r="CC66"/>
  <c r="BO66"/>
  <c r="BM66"/>
  <c r="DE64"/>
  <c r="DE57"/>
  <c r="BW66"/>
  <c r="BU66"/>
  <c r="Y66"/>
  <c r="AA66"/>
  <c r="DE27"/>
  <c r="AQ66"/>
  <c r="AO66"/>
  <c r="CK66"/>
  <c r="CM66"/>
  <c r="BE66"/>
  <c r="BG66"/>
  <c r="R27" i="85"/>
  <c r="R26"/>
  <c r="DE63" i="86" l="1"/>
  <c r="DE66" l="1"/>
  <c r="I66"/>
  <c r="G16" i="84" l="1"/>
  <c r="AD66" l="1"/>
  <c r="V66"/>
  <c r="N66"/>
  <c r="DI19" l="1"/>
  <c r="DH19"/>
  <c r="DH18"/>
  <c r="DI18" s="1"/>
  <c r="DH17"/>
  <c r="DI17" s="1"/>
  <c r="DH16"/>
  <c r="DI16" s="1"/>
  <c r="DH15"/>
  <c r="DI15" s="1"/>
  <c r="DG15"/>
  <c r="DF15"/>
  <c r="D36" l="1"/>
  <c r="D19"/>
  <c r="D35"/>
  <c r="D34"/>
  <c r="D33"/>
  <c r="G6" i="85" l="1"/>
  <c r="G16" l="1"/>
  <c r="J6"/>
  <c r="I6"/>
  <c r="I16" s="1"/>
  <c r="H6"/>
  <c r="F6"/>
  <c r="E6"/>
  <c r="E16" s="1"/>
  <c r="J16" l="1"/>
  <c r="F16"/>
  <c r="H16"/>
  <c r="DE59" i="84"/>
  <c r="DE46"/>
  <c r="DE44"/>
  <c r="DE32"/>
  <c r="DE31"/>
  <c r="DE21"/>
  <c r="DE18"/>
  <c r="DE17"/>
  <c r="DE16"/>
  <c r="DE15"/>
  <c r="DE8"/>
  <c r="DE6"/>
  <c r="G18" l="1"/>
  <c r="G17"/>
  <c r="G15"/>
  <c r="CX38"/>
  <c r="CW38"/>
  <c r="CP38"/>
  <c r="CO38"/>
  <c r="CH38"/>
  <c r="CG38"/>
  <c r="BZ38"/>
  <c r="BY38"/>
  <c r="BR38"/>
  <c r="BQ38"/>
  <c r="BJ38"/>
  <c r="BI38"/>
  <c r="BB38"/>
  <c r="BA38"/>
  <c r="AT38"/>
  <c r="AS38"/>
  <c r="AL38"/>
  <c r="AK38"/>
  <c r="AD38"/>
  <c r="AC38"/>
  <c r="V38"/>
  <c r="U38"/>
  <c r="CX50"/>
  <c r="CW50"/>
  <c r="CP50"/>
  <c r="CO50"/>
  <c r="CH50"/>
  <c r="CG50"/>
  <c r="BZ50"/>
  <c r="BY50"/>
  <c r="BR50"/>
  <c r="BQ50"/>
  <c r="BJ50"/>
  <c r="BI50"/>
  <c r="BB50"/>
  <c r="BB57" s="1"/>
  <c r="BB64" s="1"/>
  <c r="BA50"/>
  <c r="AT50"/>
  <c r="AS50"/>
  <c r="AL50"/>
  <c r="AL57" s="1"/>
  <c r="AK50"/>
  <c r="AD50"/>
  <c r="AC50"/>
  <c r="V50"/>
  <c r="V57" s="1"/>
  <c r="V64" s="1"/>
  <c r="U50"/>
  <c r="M50"/>
  <c r="CX61"/>
  <c r="CX65" s="1"/>
  <c r="CW61"/>
  <c r="CW65" s="1"/>
  <c r="CP61"/>
  <c r="CO61"/>
  <c r="CH61"/>
  <c r="CH65" s="1"/>
  <c r="CG61"/>
  <c r="CG65" s="1"/>
  <c r="BZ61"/>
  <c r="BZ65" s="1"/>
  <c r="BY61"/>
  <c r="BY65" s="1"/>
  <c r="BR61"/>
  <c r="BR65" s="1"/>
  <c r="BQ61"/>
  <c r="BQ65" s="1"/>
  <c r="BJ61"/>
  <c r="BJ65" s="1"/>
  <c r="BI61"/>
  <c r="BI65" s="1"/>
  <c r="BB61"/>
  <c r="BB65" s="1"/>
  <c r="BA61"/>
  <c r="BA65" s="1"/>
  <c r="AT61"/>
  <c r="AT65" s="1"/>
  <c r="AS61"/>
  <c r="AL61"/>
  <c r="AL65" s="1"/>
  <c r="AK61"/>
  <c r="AK65" s="1"/>
  <c r="AD61"/>
  <c r="AD65" s="1"/>
  <c r="AC61"/>
  <c r="AC65" s="1"/>
  <c r="V61"/>
  <c r="V65" s="1"/>
  <c r="U61"/>
  <c r="U65" s="1"/>
  <c r="CP65"/>
  <c r="CO65"/>
  <c r="AS65"/>
  <c r="AL64"/>
  <c r="CW12"/>
  <c r="CX12"/>
  <c r="CX22"/>
  <c r="CW22"/>
  <c r="CP22"/>
  <c r="CO22"/>
  <c r="CH22"/>
  <c r="CG22"/>
  <c r="BZ22"/>
  <c r="BY22"/>
  <c r="BR22"/>
  <c r="BQ22"/>
  <c r="BJ22"/>
  <c r="BI22"/>
  <c r="BB22"/>
  <c r="BA22"/>
  <c r="AT22"/>
  <c r="AS22"/>
  <c r="AL22"/>
  <c r="AK22"/>
  <c r="AD22"/>
  <c r="AC22"/>
  <c r="V22"/>
  <c r="U22"/>
  <c r="CP12"/>
  <c r="CP27" s="1"/>
  <c r="CP63" s="1"/>
  <c r="CO12"/>
  <c r="CH12"/>
  <c r="CG12"/>
  <c r="BZ12"/>
  <c r="BR12"/>
  <c r="BQ12"/>
  <c r="BJ12"/>
  <c r="BI12"/>
  <c r="BB12"/>
  <c r="BA12"/>
  <c r="AT12"/>
  <c r="AS12"/>
  <c r="AL12"/>
  <c r="AK12"/>
  <c r="AD12"/>
  <c r="AC12"/>
  <c r="AC27" s="1"/>
  <c r="AC63" s="1"/>
  <c r="V12"/>
  <c r="U12"/>
  <c r="N61"/>
  <c r="N65" s="1"/>
  <c r="M61"/>
  <c r="N50"/>
  <c r="N38"/>
  <c r="M38"/>
  <c r="M57" s="1"/>
  <c r="N22"/>
  <c r="M22"/>
  <c r="N12"/>
  <c r="M12"/>
  <c r="D44"/>
  <c r="D32"/>
  <c r="D31"/>
  <c r="D18"/>
  <c r="D17"/>
  <c r="D16"/>
  <c r="D15"/>
  <c r="D6"/>
  <c r="D8"/>
  <c r="CH27" l="1"/>
  <c r="CH63" s="1"/>
  <c r="BJ27"/>
  <c r="BJ63" s="1"/>
  <c r="BJ66" s="1"/>
  <c r="BH66" s="1"/>
  <c r="BB27"/>
  <c r="BB63" s="1"/>
  <c r="BB66" s="1"/>
  <c r="AZ66" s="1"/>
  <c r="AD27"/>
  <c r="AD63" s="1"/>
  <c r="V27"/>
  <c r="V63" s="1"/>
  <c r="T66" s="1"/>
  <c r="AC57"/>
  <c r="AC64" s="1"/>
  <c r="BI57"/>
  <c r="BI64" s="1"/>
  <c r="CO57"/>
  <c r="CO64" s="1"/>
  <c r="AL27"/>
  <c r="AL63" s="1"/>
  <c r="AJ66" s="1"/>
  <c r="AT27"/>
  <c r="AT63" s="1"/>
  <c r="BZ27"/>
  <c r="BZ63" s="1"/>
  <c r="BZ66" s="1"/>
  <c r="BX66" s="1"/>
  <c r="AS57"/>
  <c r="AS64" s="1"/>
  <c r="BY57"/>
  <c r="BY64" s="1"/>
  <c r="BR27"/>
  <c r="BR63" s="1"/>
  <c r="U57"/>
  <c r="U64" s="1"/>
  <c r="AK57"/>
  <c r="AK64" s="1"/>
  <c r="BA57"/>
  <c r="BA64" s="1"/>
  <c r="CG57"/>
  <c r="CG64" s="1"/>
  <c r="CW57"/>
  <c r="CW64" s="1"/>
  <c r="CX27"/>
  <c r="CX63" s="1"/>
  <c r="AD57"/>
  <c r="AD64" s="1"/>
  <c r="AT57"/>
  <c r="AT64" s="1"/>
  <c r="BJ57"/>
  <c r="BJ64" s="1"/>
  <c r="BZ57"/>
  <c r="BZ64" s="1"/>
  <c r="CP57"/>
  <c r="CP64" s="1"/>
  <c r="BQ57"/>
  <c r="BQ64" s="1"/>
  <c r="N57"/>
  <c r="N64" s="1"/>
  <c r="BI27"/>
  <c r="BI63" s="1"/>
  <c r="BI66" s="1"/>
  <c r="CO27"/>
  <c r="CO63" s="1"/>
  <c r="CO66" s="1"/>
  <c r="DE22"/>
  <c r="DE50"/>
  <c r="M65"/>
  <c r="DE65" s="1"/>
  <c r="DE61"/>
  <c r="U27"/>
  <c r="U63" s="1"/>
  <c r="U66" s="1"/>
  <c r="BQ27"/>
  <c r="BQ63" s="1"/>
  <c r="BQ66" s="1"/>
  <c r="M64"/>
  <c r="AK27"/>
  <c r="AK63" s="1"/>
  <c r="BA27"/>
  <c r="BA63" s="1"/>
  <c r="CG27"/>
  <c r="CG63" s="1"/>
  <c r="CW27"/>
  <c r="CW63" s="1"/>
  <c r="CW66" s="1"/>
  <c r="DE12"/>
  <c r="DE38"/>
  <c r="BR57"/>
  <c r="BR64" s="1"/>
  <c r="CH57"/>
  <c r="CH64" s="1"/>
  <c r="CX57"/>
  <c r="CX64" s="1"/>
  <c r="AS27"/>
  <c r="AS63" s="1"/>
  <c r="BY27"/>
  <c r="BY63" s="1"/>
  <c r="CP66"/>
  <c r="CN66" s="1"/>
  <c r="N27"/>
  <c r="N63" s="1"/>
  <c r="M27"/>
  <c r="AC66"/>
  <c r="CH66" l="1"/>
  <c r="CF66" s="1"/>
  <c r="BR66"/>
  <c r="BP66" s="1"/>
  <c r="AR66"/>
  <c r="AB66"/>
  <c r="BY66"/>
  <c r="BU66" s="1"/>
  <c r="AS66"/>
  <c r="BA66"/>
  <c r="K66"/>
  <c r="DE57"/>
  <c r="CX66"/>
  <c r="CV66" s="1"/>
  <c r="AK66"/>
  <c r="AG66" s="1"/>
  <c r="CG66"/>
  <c r="CC66" s="1"/>
  <c r="DE64"/>
  <c r="S66"/>
  <c r="Q66"/>
  <c r="AO66"/>
  <c r="AQ66"/>
  <c r="BE66"/>
  <c r="BG66"/>
  <c r="AA66"/>
  <c r="Y66"/>
  <c r="AY66"/>
  <c r="AW66"/>
  <c r="CS66"/>
  <c r="CU66"/>
  <c r="BM66"/>
  <c r="BO66"/>
  <c r="CK66"/>
  <c r="CM66"/>
  <c r="AI66"/>
  <c r="M63"/>
  <c r="DE27"/>
  <c r="BW66" l="1"/>
  <c r="L66"/>
  <c r="CE66"/>
  <c r="M66"/>
  <c r="DE63"/>
  <c r="DE66" l="1"/>
  <c r="I66"/>
  <c r="Q28" i="85"/>
  <c r="P28"/>
  <c r="O28"/>
  <c r="N28"/>
  <c r="M28"/>
  <c r="L28"/>
  <c r="K28"/>
  <c r="J28"/>
  <c r="I28"/>
  <c r="H28"/>
  <c r="G28"/>
  <c r="F28"/>
  <c r="R28"/>
  <c r="T28" s="1"/>
  <c r="H61" i="84" l="1"/>
  <c r="H65" s="1"/>
  <c r="H50"/>
  <c r="D50"/>
  <c r="H38"/>
  <c r="D38"/>
  <c r="C38"/>
  <c r="C57" s="1"/>
  <c r="C64" s="1"/>
  <c r="H22"/>
  <c r="E22"/>
  <c r="D22"/>
  <c r="C22"/>
  <c r="H12"/>
  <c r="E12"/>
  <c r="D12"/>
  <c r="C12"/>
  <c r="E27" l="1"/>
  <c r="E63" s="1"/>
  <c r="D27"/>
  <c r="D63" s="1"/>
  <c r="H27"/>
  <c r="H63" s="1"/>
  <c r="C27"/>
  <c r="C63" s="1"/>
  <c r="D57"/>
  <c r="D64" s="1"/>
  <c r="H57"/>
  <c r="H64" s="1"/>
  <c r="H66" l="1"/>
  <c r="F57" i="52" l="1"/>
  <c r="E23"/>
  <c r="D4"/>
  <c r="E4"/>
  <c r="F4"/>
  <c r="G4"/>
  <c r="D5"/>
  <c r="E47" s="1"/>
  <c r="E5"/>
  <c r="F5"/>
  <c r="G5"/>
  <c r="D6"/>
  <c r="E6"/>
  <c r="F6"/>
  <c r="G6"/>
  <c r="D7"/>
  <c r="E49" s="1"/>
  <c r="E7"/>
  <c r="F7"/>
  <c r="G7"/>
  <c r="D8"/>
  <c r="E8"/>
  <c r="F8"/>
  <c r="G8"/>
  <c r="D9"/>
  <c r="E9"/>
  <c r="F9"/>
  <c r="G9"/>
  <c r="D10"/>
  <c r="E10"/>
  <c r="F10"/>
  <c r="G10"/>
  <c r="D12"/>
  <c r="D22" s="1"/>
  <c r="E12"/>
  <c r="F12"/>
  <c r="G12"/>
  <c r="D13"/>
  <c r="E13"/>
  <c r="F13"/>
  <c r="G13"/>
  <c r="D14"/>
  <c r="E14"/>
  <c r="F14"/>
  <c r="G14"/>
  <c r="D15"/>
  <c r="E15"/>
  <c r="F15"/>
  <c r="G15"/>
  <c r="D16"/>
  <c r="E16"/>
  <c r="F16"/>
  <c r="G16"/>
  <c r="D17"/>
  <c r="E17"/>
  <c r="F17"/>
  <c r="G17"/>
  <c r="D18"/>
  <c r="E18"/>
  <c r="F18"/>
  <c r="G18"/>
  <c r="D20"/>
  <c r="E20"/>
  <c r="F20"/>
  <c r="G20"/>
  <c r="D21"/>
  <c r="E21"/>
  <c r="F21"/>
  <c r="G21"/>
  <c r="E22"/>
  <c r="F22"/>
  <c r="G22"/>
  <c r="D23"/>
  <c r="H38" s="1"/>
  <c r="D24"/>
  <c r="H39" s="1"/>
  <c r="E24"/>
  <c r="E25"/>
  <c r="F35"/>
  <c r="G35"/>
  <c r="H35"/>
  <c r="I35"/>
  <c r="D37"/>
  <c r="E37"/>
  <c r="F37"/>
  <c r="G37"/>
  <c r="H37"/>
  <c r="I37"/>
  <c r="D41"/>
  <c r="E41"/>
  <c r="F41"/>
  <c r="G41"/>
  <c r="H41"/>
  <c r="I41"/>
  <c r="E46"/>
  <c r="G46"/>
  <c r="I46"/>
  <c r="K46"/>
  <c r="N46"/>
  <c r="O46"/>
  <c r="P46"/>
  <c r="P61" s="1"/>
  <c r="P62" s="1"/>
  <c r="D36" s="1"/>
  <c r="Q46"/>
  <c r="Q61" s="1"/>
  <c r="Q62" s="1"/>
  <c r="E36" s="1"/>
  <c r="F47"/>
  <c r="G47"/>
  <c r="I47"/>
  <c r="K47"/>
  <c r="L47"/>
  <c r="M47"/>
  <c r="N47"/>
  <c r="O47"/>
  <c r="P47"/>
  <c r="Q47"/>
  <c r="E48"/>
  <c r="G48"/>
  <c r="I48"/>
  <c r="K48"/>
  <c r="L48"/>
  <c r="M48"/>
  <c r="N48"/>
  <c r="O48"/>
  <c r="P48"/>
  <c r="Q48"/>
  <c r="G49"/>
  <c r="I49"/>
  <c r="K49"/>
  <c r="L49"/>
  <c r="M49"/>
  <c r="N49"/>
  <c r="O49"/>
  <c r="P49"/>
  <c r="Q49"/>
  <c r="E50"/>
  <c r="G50"/>
  <c r="I50"/>
  <c r="K50"/>
  <c r="L50"/>
  <c r="M50"/>
  <c r="N50"/>
  <c r="O50"/>
  <c r="P50"/>
  <c r="Q50"/>
  <c r="D51"/>
  <c r="G51"/>
  <c r="I51"/>
  <c r="K51"/>
  <c r="L51"/>
  <c r="M51"/>
  <c r="P51"/>
  <c r="Q51"/>
  <c r="D52"/>
  <c r="E52"/>
  <c r="G52"/>
  <c r="I52"/>
  <c r="K52"/>
  <c r="L52"/>
  <c r="M52"/>
  <c r="N52"/>
  <c r="O52"/>
  <c r="P52"/>
  <c r="Q52"/>
  <c r="G53"/>
  <c r="I53"/>
  <c r="K53"/>
  <c r="L53"/>
  <c r="M53"/>
  <c r="P53"/>
  <c r="Q53"/>
  <c r="D54"/>
  <c r="F54"/>
  <c r="G54"/>
  <c r="H54"/>
  <c r="J54"/>
  <c r="L54"/>
  <c r="M54"/>
  <c r="G55"/>
  <c r="I55"/>
  <c r="K55"/>
  <c r="L55"/>
  <c r="M55"/>
  <c r="P55"/>
  <c r="Q55"/>
  <c r="D56"/>
  <c r="G56"/>
  <c r="I56"/>
  <c r="K56"/>
  <c r="L56"/>
  <c r="M56"/>
  <c r="P56"/>
  <c r="Q56"/>
  <c r="G57"/>
  <c r="I57"/>
  <c r="K57"/>
  <c r="L57"/>
  <c r="M57"/>
  <c r="P57"/>
  <c r="Q57"/>
  <c r="D58"/>
  <c r="H58"/>
  <c r="L58"/>
  <c r="M58"/>
  <c r="D59"/>
  <c r="H59"/>
  <c r="J59"/>
  <c r="L59"/>
  <c r="M59"/>
  <c r="G60"/>
  <c r="I60"/>
  <c r="K60"/>
  <c r="L60"/>
  <c r="M60"/>
  <c r="P60"/>
  <c r="Q60"/>
  <c r="D61"/>
  <c r="E61"/>
  <c r="F61"/>
  <c r="G61"/>
  <c r="H61"/>
  <c r="I61"/>
  <c r="J61"/>
  <c r="K61"/>
  <c r="L61"/>
  <c r="M61"/>
  <c r="N61"/>
  <c r="N62" s="1"/>
  <c r="D35" s="1"/>
  <c r="O61"/>
  <c r="O62" s="1"/>
  <c r="E35" s="1"/>
  <c r="D62"/>
  <c r="E62"/>
  <c r="F62"/>
  <c r="G62"/>
  <c r="H36"/>
  <c r="H62"/>
  <c r="I62"/>
  <c r="J62"/>
  <c r="K62"/>
  <c r="L62"/>
  <c r="M62"/>
  <c r="D30" i="51"/>
  <c r="E30"/>
  <c r="F30"/>
  <c r="G30"/>
  <c r="H30"/>
  <c r="I30"/>
  <c r="J30"/>
  <c r="C3" i="38"/>
  <c r="D5"/>
  <c r="J5" s="1"/>
  <c r="J6"/>
  <c r="D7"/>
  <c r="J7"/>
  <c r="J8"/>
  <c r="D9"/>
  <c r="J9"/>
  <c r="J10"/>
  <c r="D11"/>
  <c r="I11"/>
  <c r="J11"/>
  <c r="J12"/>
  <c r="C14"/>
  <c r="D14"/>
  <c r="J14"/>
  <c r="D15"/>
  <c r="J15"/>
  <c r="D16"/>
  <c r="J16"/>
  <c r="D17"/>
  <c r="J17"/>
  <c r="D18"/>
  <c r="J18"/>
  <c r="D19"/>
  <c r="J19"/>
  <c r="G20"/>
  <c r="H20"/>
  <c r="J20"/>
  <c r="P20"/>
  <c r="C24"/>
  <c r="J37"/>
  <c r="O54"/>
  <c r="D55"/>
  <c r="E55"/>
  <c r="F55"/>
  <c r="I55"/>
  <c r="J55"/>
  <c r="K55"/>
  <c r="M55"/>
  <c r="N55"/>
  <c r="O55"/>
  <c r="D56"/>
  <c r="E56"/>
  <c r="F56"/>
  <c r="G56"/>
  <c r="I56"/>
  <c r="J56"/>
  <c r="K56"/>
  <c r="M56"/>
  <c r="N56"/>
  <c r="O56"/>
  <c r="D57"/>
  <c r="E57"/>
  <c r="F57"/>
  <c r="G57"/>
  <c r="I57"/>
  <c r="J57"/>
  <c r="K57"/>
  <c r="M57"/>
  <c r="N57"/>
  <c r="O57"/>
  <c r="D58"/>
  <c r="E58"/>
  <c r="F58"/>
  <c r="G58"/>
  <c r="I58"/>
  <c r="J58"/>
  <c r="K58"/>
  <c r="M58"/>
  <c r="N58"/>
  <c r="O58"/>
  <c r="D59"/>
  <c r="E59"/>
  <c r="F59"/>
  <c r="G59"/>
  <c r="I59"/>
  <c r="J59"/>
  <c r="K59"/>
  <c r="M59"/>
  <c r="N59"/>
  <c r="O59"/>
  <c r="D60"/>
  <c r="E60"/>
  <c r="G60"/>
  <c r="I60"/>
  <c r="K60"/>
  <c r="M60"/>
  <c r="O60"/>
  <c r="D61"/>
  <c r="E61"/>
  <c r="G61"/>
  <c r="I61"/>
  <c r="K61"/>
  <c r="M61"/>
  <c r="O61"/>
  <c r="D62"/>
  <c r="E62"/>
  <c r="F62"/>
  <c r="G62"/>
  <c r="I62"/>
  <c r="J62"/>
  <c r="K62"/>
  <c r="M62"/>
  <c r="N62"/>
  <c r="O62"/>
  <c r="D63"/>
  <c r="E63"/>
  <c r="G63"/>
  <c r="I63"/>
  <c r="K63"/>
  <c r="M63"/>
  <c r="O63"/>
  <c r="D64"/>
  <c r="E64"/>
  <c r="G64"/>
  <c r="I64"/>
  <c r="K64"/>
  <c r="M64"/>
  <c r="O64"/>
  <c r="D65"/>
  <c r="E65"/>
  <c r="G65"/>
  <c r="K65"/>
  <c r="O65"/>
  <c r="D66"/>
  <c r="E66"/>
  <c r="F66"/>
  <c r="G66"/>
  <c r="I66"/>
  <c r="J66"/>
  <c r="K66"/>
  <c r="M66"/>
  <c r="N66"/>
  <c r="O66"/>
  <c r="C9" i="23"/>
  <c r="D9"/>
  <c r="E9"/>
  <c r="I9" s="1"/>
  <c r="F9"/>
  <c r="G9"/>
  <c r="H9"/>
  <c r="J9"/>
  <c r="K9"/>
  <c r="L9"/>
  <c r="C11"/>
  <c r="D11"/>
  <c r="E11"/>
  <c r="F11"/>
  <c r="G11"/>
  <c r="H11"/>
  <c r="J11"/>
  <c r="K11"/>
  <c r="L11"/>
  <c r="C13"/>
  <c r="D13"/>
  <c r="E13"/>
  <c r="F13"/>
  <c r="G13"/>
  <c r="H13"/>
  <c r="J13"/>
  <c r="K13"/>
  <c r="L13"/>
  <c r="C15"/>
  <c r="D15"/>
  <c r="E15"/>
  <c r="F15"/>
  <c r="G15"/>
  <c r="H15"/>
  <c r="J15"/>
  <c r="K15"/>
  <c r="L15"/>
  <c r="C17"/>
  <c r="D17"/>
  <c r="E17"/>
  <c r="F17"/>
  <c r="G17"/>
  <c r="H17"/>
  <c r="J17"/>
  <c r="K17"/>
  <c r="L17"/>
  <c r="C19"/>
  <c r="D19"/>
  <c r="I19" s="1"/>
  <c r="Q19" s="1"/>
  <c r="E19"/>
  <c r="F19"/>
  <c r="G19"/>
  <c r="H19"/>
  <c r="J19"/>
  <c r="K19"/>
  <c r="L19"/>
  <c r="E20"/>
  <c r="F20"/>
  <c r="G20"/>
  <c r="H20"/>
  <c r="I20"/>
  <c r="J20"/>
  <c r="K20"/>
  <c r="L20"/>
  <c r="M20"/>
  <c r="N20"/>
  <c r="O20"/>
  <c r="P20"/>
  <c r="Q20"/>
  <c r="L54"/>
  <c r="L58" s="1"/>
  <c r="M54"/>
  <c r="N54"/>
  <c r="O54"/>
  <c r="P54"/>
  <c r="Q54"/>
  <c r="R54" s="1"/>
  <c r="J49" i="52"/>
  <c r="F48"/>
  <c r="C9" i="3"/>
  <c r="D9"/>
  <c r="F9" s="1"/>
  <c r="E9"/>
  <c r="G9"/>
  <c r="H9"/>
  <c r="I9"/>
  <c r="C10"/>
  <c r="D10"/>
  <c r="F10" s="1"/>
  <c r="N10" s="1"/>
  <c r="E10"/>
  <c r="G10"/>
  <c r="H10"/>
  <c r="I10"/>
  <c r="C11"/>
  <c r="D11"/>
  <c r="E11"/>
  <c r="G11"/>
  <c r="H11"/>
  <c r="I11"/>
  <c r="J11"/>
  <c r="K11"/>
  <c r="L11"/>
  <c r="M11"/>
  <c r="C13"/>
  <c r="D13"/>
  <c r="E13"/>
  <c r="F13"/>
  <c r="N13" s="1"/>
  <c r="N15" s="1"/>
  <c r="G13"/>
  <c r="H13"/>
  <c r="I13"/>
  <c r="C14"/>
  <c r="D14"/>
  <c r="E14"/>
  <c r="F14"/>
  <c r="N14" s="1"/>
  <c r="G14"/>
  <c r="H14"/>
  <c r="I14"/>
  <c r="C15"/>
  <c r="D15"/>
  <c r="E15"/>
  <c r="F15"/>
  <c r="G15"/>
  <c r="H15"/>
  <c r="I15"/>
  <c r="J15"/>
  <c r="K15"/>
  <c r="L15"/>
  <c r="M15"/>
  <c r="C17"/>
  <c r="D17"/>
  <c r="F17" s="1"/>
  <c r="N17" s="1"/>
  <c r="N19" s="1"/>
  <c r="E17"/>
  <c r="G17"/>
  <c r="H17"/>
  <c r="I17"/>
  <c r="C18"/>
  <c r="D18"/>
  <c r="F18" s="1"/>
  <c r="N18" s="1"/>
  <c r="E18"/>
  <c r="G18"/>
  <c r="H18"/>
  <c r="I18"/>
  <c r="C19"/>
  <c r="D19"/>
  <c r="E19"/>
  <c r="F19"/>
  <c r="G19"/>
  <c r="H19"/>
  <c r="I19"/>
  <c r="J19"/>
  <c r="K19"/>
  <c r="L19"/>
  <c r="M19"/>
  <c r="C21"/>
  <c r="D21"/>
  <c r="E21"/>
  <c r="F21"/>
  <c r="N21" s="1"/>
  <c r="N23" s="1"/>
  <c r="G21"/>
  <c r="H21"/>
  <c r="I21"/>
  <c r="C22"/>
  <c r="D22"/>
  <c r="E22"/>
  <c r="F22"/>
  <c r="N22" s="1"/>
  <c r="G22"/>
  <c r="H22"/>
  <c r="I22"/>
  <c r="C23"/>
  <c r="D23"/>
  <c r="E23"/>
  <c r="F23"/>
  <c r="G23"/>
  <c r="H23"/>
  <c r="I23"/>
  <c r="J23"/>
  <c r="K23"/>
  <c r="L23"/>
  <c r="M23"/>
  <c r="C25"/>
  <c r="D25"/>
  <c r="F25" s="1"/>
  <c r="N25" s="1"/>
  <c r="N27" s="1"/>
  <c r="E25"/>
  <c r="G25"/>
  <c r="H25"/>
  <c r="I25"/>
  <c r="C26"/>
  <c r="D26"/>
  <c r="F26" s="1"/>
  <c r="N26" s="1"/>
  <c r="E26"/>
  <c r="G26"/>
  <c r="H26"/>
  <c r="I26"/>
  <c r="C27"/>
  <c r="D27"/>
  <c r="E27"/>
  <c r="F27"/>
  <c r="G27"/>
  <c r="H27"/>
  <c r="I27"/>
  <c r="J27"/>
  <c r="K27"/>
  <c r="L27"/>
  <c r="M27"/>
  <c r="C29"/>
  <c r="D29"/>
  <c r="E29"/>
  <c r="F29"/>
  <c r="N29" s="1"/>
  <c r="N31" s="1"/>
  <c r="G29"/>
  <c r="H29"/>
  <c r="I29"/>
  <c r="C30"/>
  <c r="D30"/>
  <c r="E30"/>
  <c r="F30"/>
  <c r="N30" s="1"/>
  <c r="G30"/>
  <c r="H30"/>
  <c r="I30"/>
  <c r="C31"/>
  <c r="D31"/>
  <c r="E31"/>
  <c r="F31"/>
  <c r="G31"/>
  <c r="H31"/>
  <c r="I31"/>
  <c r="J31"/>
  <c r="K31"/>
  <c r="L31"/>
  <c r="M31"/>
  <c r="C33"/>
  <c r="D33"/>
  <c r="E33"/>
  <c r="F33" s="1"/>
  <c r="N33" s="1"/>
  <c r="N35" s="1"/>
  <c r="G33"/>
  <c r="H33"/>
  <c r="I33"/>
  <c r="C34"/>
  <c r="D34"/>
  <c r="E34"/>
  <c r="F34" s="1"/>
  <c r="N34" s="1"/>
  <c r="G34"/>
  <c r="H34"/>
  <c r="I34"/>
  <c r="C35"/>
  <c r="D35"/>
  <c r="E35"/>
  <c r="F35"/>
  <c r="G35"/>
  <c r="H35"/>
  <c r="I35"/>
  <c r="J35"/>
  <c r="K35"/>
  <c r="L35"/>
  <c r="M35"/>
  <c r="C37"/>
  <c r="D37"/>
  <c r="E37"/>
  <c r="F37"/>
  <c r="N37" s="1"/>
  <c r="N39" s="1"/>
  <c r="G37"/>
  <c r="H37"/>
  <c r="I37"/>
  <c r="C38"/>
  <c r="D38"/>
  <c r="E38"/>
  <c r="F38"/>
  <c r="N38" s="1"/>
  <c r="G38"/>
  <c r="H38"/>
  <c r="I38"/>
  <c r="C39"/>
  <c r="D39"/>
  <c r="E39"/>
  <c r="F39"/>
  <c r="G39"/>
  <c r="H39"/>
  <c r="I39"/>
  <c r="J39"/>
  <c r="K39"/>
  <c r="L39"/>
  <c r="M39"/>
  <c r="C41"/>
  <c r="D41"/>
  <c r="E41"/>
  <c r="F41" s="1"/>
  <c r="N41" s="1"/>
  <c r="N43" s="1"/>
  <c r="G41"/>
  <c r="H41"/>
  <c r="I41"/>
  <c r="C42"/>
  <c r="D42"/>
  <c r="E42"/>
  <c r="F42" s="1"/>
  <c r="N42" s="1"/>
  <c r="G42"/>
  <c r="H42"/>
  <c r="I42"/>
  <c r="C43"/>
  <c r="D43"/>
  <c r="E43"/>
  <c r="F43"/>
  <c r="G43"/>
  <c r="H43"/>
  <c r="I43"/>
  <c r="J43"/>
  <c r="K43"/>
  <c r="L43"/>
  <c r="M43"/>
  <c r="E45"/>
  <c r="G45"/>
  <c r="H45"/>
  <c r="I45"/>
  <c r="C46"/>
  <c r="D46" s="1"/>
  <c r="E46"/>
  <c r="G46"/>
  <c r="H46"/>
  <c r="I46"/>
  <c r="G47"/>
  <c r="H47"/>
  <c r="I47"/>
  <c r="D48"/>
  <c r="F48" s="1"/>
  <c r="E48"/>
  <c r="G48"/>
  <c r="H48"/>
  <c r="I48"/>
  <c r="C50"/>
  <c r="C52"/>
  <c r="D50"/>
  <c r="E50"/>
  <c r="G50"/>
  <c r="H50"/>
  <c r="M50" s="1"/>
  <c r="I50"/>
  <c r="C51"/>
  <c r="D51"/>
  <c r="E51"/>
  <c r="G51"/>
  <c r="G55" s="1"/>
  <c r="H51"/>
  <c r="M51" s="1"/>
  <c r="I51"/>
  <c r="D52"/>
  <c r="E52"/>
  <c r="F52"/>
  <c r="G52"/>
  <c r="H52"/>
  <c r="I52"/>
  <c r="J52"/>
  <c r="K52"/>
  <c r="L52"/>
  <c r="C54"/>
  <c r="D54"/>
  <c r="E54"/>
  <c r="F54"/>
  <c r="G54"/>
  <c r="G58" s="1"/>
  <c r="H54"/>
  <c r="H58" s="1"/>
  <c r="I54"/>
  <c r="I58" s="1"/>
  <c r="J54"/>
  <c r="K54"/>
  <c r="L54"/>
  <c r="L58"/>
  <c r="M54"/>
  <c r="C55"/>
  <c r="C58" s="1"/>
  <c r="E55"/>
  <c r="H55"/>
  <c r="I55"/>
  <c r="J55"/>
  <c r="K55"/>
  <c r="L55"/>
  <c r="G56"/>
  <c r="H56"/>
  <c r="I56"/>
  <c r="G57"/>
  <c r="H57"/>
  <c r="I57"/>
  <c r="J58"/>
  <c r="K58"/>
  <c r="J47" i="52"/>
  <c r="D48"/>
  <c r="J48"/>
  <c r="H48"/>
  <c r="D49"/>
  <c r="D50"/>
  <c r="F50"/>
  <c r="F51"/>
  <c r="J51"/>
  <c r="F52"/>
  <c r="H52"/>
  <c r="D53"/>
  <c r="F53"/>
  <c r="J53"/>
  <c r="H53"/>
  <c r="F55"/>
  <c r="J55"/>
  <c r="H55"/>
  <c r="J57"/>
  <c r="H57"/>
  <c r="J58"/>
  <c r="F59"/>
  <c r="F25"/>
  <c r="G25"/>
  <c r="D60"/>
  <c r="F60"/>
  <c r="F36"/>
  <c r="F39"/>
  <c r="F38"/>
  <c r="F40"/>
  <c r="H49"/>
  <c r="D46"/>
  <c r="D25"/>
  <c r="G59"/>
  <c r="H40"/>
  <c r="G40"/>
  <c r="Q9" i="23"/>
  <c r="P9"/>
  <c r="F11" i="3" l="1"/>
  <c r="N9"/>
  <c r="I11" i="23"/>
  <c r="F50" i="3"/>
  <c r="N50" s="1"/>
  <c r="N52" s="1"/>
  <c r="I13" i="23"/>
  <c r="E58" i="3"/>
  <c r="F51"/>
  <c r="N51" s="1"/>
  <c r="C45"/>
  <c r="C47"/>
  <c r="D47" s="1"/>
  <c r="F47" s="1"/>
  <c r="P19" i="23"/>
  <c r="C20"/>
  <c r="I17"/>
  <c r="G55" i="38"/>
  <c r="M46" i="52"/>
  <c r="H46"/>
  <c r="J46"/>
  <c r="H56"/>
  <c r="F49"/>
  <c r="H60"/>
  <c r="H50"/>
  <c r="H47"/>
  <c r="J60"/>
  <c r="J56"/>
  <c r="F46"/>
  <c r="I40"/>
  <c r="M55" i="3"/>
  <c r="M52"/>
  <c r="D57" i="52"/>
  <c r="M58" i="3"/>
  <c r="F46"/>
  <c r="D55"/>
  <c r="D58" s="1"/>
  <c r="D55" i="52"/>
  <c r="D20" i="23"/>
  <c r="I15"/>
  <c r="D47" i="52"/>
  <c r="G58"/>
  <c r="Q13" i="23" l="1"/>
  <c r="P13"/>
  <c r="Q17"/>
  <c r="P17"/>
  <c r="D45" i="3"/>
  <c r="F45" s="1"/>
  <c r="N45" s="1"/>
  <c r="N47" s="1"/>
  <c r="N48" s="1"/>
  <c r="C48"/>
  <c r="P11" i="23"/>
  <c r="Q11"/>
  <c r="N54" i="3"/>
  <c r="N58" s="1"/>
  <c r="N11"/>
  <c r="L46" i="52"/>
  <c r="E27"/>
  <c r="E26" s="1"/>
  <c r="G23"/>
  <c r="D27"/>
  <c r="D26" s="1"/>
  <c r="F55" i="3"/>
  <c r="F58" s="1"/>
  <c r="N46"/>
  <c r="N55" s="1"/>
  <c r="Q15" i="23"/>
  <c r="P15"/>
  <c r="H51" i="52"/>
  <c r="I38" l="1"/>
  <c r="F56"/>
  <c r="F23"/>
  <c r="G38"/>
  <c r="J50"/>
  <c r="F27"/>
  <c r="J52"/>
  <c r="F58"/>
  <c r="G27" l="1"/>
  <c r="G36"/>
  <c r="F24"/>
  <c r="F26" s="1"/>
  <c r="I36"/>
  <c r="G24" l="1"/>
  <c r="G26" s="1"/>
  <c r="G39"/>
  <c r="I39" l="1"/>
</calcChain>
</file>

<file path=xl/sharedStrings.xml><?xml version="1.0" encoding="utf-8"?>
<sst xmlns="http://schemas.openxmlformats.org/spreadsheetml/2006/main" count="1289" uniqueCount="778">
  <si>
    <t>TOTAL (A+B+C)</t>
  </si>
  <si>
    <t>EDC/IDC/CONTINGENCY</t>
  </si>
  <si>
    <t>C</t>
  </si>
  <si>
    <t>UN-FIRMED PACKAGES</t>
  </si>
  <si>
    <t>B</t>
  </si>
  <si>
    <t>Sub-Total (A)</t>
  </si>
  <si>
    <t>Consultancy Fees</t>
  </si>
  <si>
    <t>Air Conditioning &amp; Ventilation System for BRM, URM &amp; Rail Welding Line</t>
  </si>
  <si>
    <t>Drop Test Facility for URM</t>
  </si>
  <si>
    <t>Instt. of Rail &amp; Road Weigh BRIDGES</t>
  </si>
  <si>
    <t>NPC Wagons</t>
  </si>
  <si>
    <t xml:space="preserve">Balance Railway track Work for Plant Internal Yard </t>
  </si>
  <si>
    <t>Rail track work for int.ward at BRM Area</t>
  </si>
  <si>
    <t>Part rail track works for Plant Internal Yards</t>
  </si>
  <si>
    <t>Underbridge by box pushing technique below railway track going to slag yard in connection with modernisation of peripheral yard of bsp</t>
  </si>
  <si>
    <t>Inter Plant Telecommunication system</t>
  </si>
  <si>
    <t>Buffer Vessels and pressure reducing &amp; metering station for oxygen,Nitrogen&amp; argon</t>
  </si>
  <si>
    <t>Energy Monitoring System</t>
  </si>
  <si>
    <t>Fire Fighting System for Transformers TDS -1</t>
  </si>
  <si>
    <t>Common Packages</t>
  </si>
  <si>
    <t>Augmentation of Capacity of Plate Mill</t>
  </si>
  <si>
    <t>Roll &amp; Repair shop Equipment for URM with related facility.</t>
  </si>
  <si>
    <t>Universal Rail Mill Complex</t>
  </si>
  <si>
    <t>Bar &amp; Rod Mill Complex</t>
  </si>
  <si>
    <t>Refractory for protection of lining of BOF &amp; CCP</t>
  </si>
  <si>
    <t>SMS # 3 Complex</t>
  </si>
  <si>
    <t>Ore Handling Plant - Part A</t>
  </si>
  <si>
    <t>Blast Furnace Complex</t>
  </si>
  <si>
    <t>Coke Dry Cooling Plant</t>
  </si>
  <si>
    <t xml:space="preserve"> </t>
  </si>
  <si>
    <t>Coke Oven Battery # 11 Complex</t>
  </si>
  <si>
    <t>FIRMED-UP PACKAGES</t>
  </si>
  <si>
    <t>A</t>
  </si>
  <si>
    <t>2016-17</t>
  </si>
  <si>
    <t>ESTIMATE</t>
  </si>
  <si>
    <t>Antcptd.</t>
  </si>
  <si>
    <t>last Plan</t>
  </si>
  <si>
    <t>Approved</t>
  </si>
  <si>
    <t>BE</t>
  </si>
  <si>
    <t>Now</t>
  </si>
  <si>
    <t xml:space="preserve">As per </t>
  </si>
  <si>
    <t>Original</t>
  </si>
  <si>
    <t>RE</t>
  </si>
  <si>
    <t xml:space="preserve">upto </t>
  </si>
  <si>
    <t>Cost</t>
  </si>
  <si>
    <t>Completion Schedule</t>
  </si>
  <si>
    <t>Actuals</t>
  </si>
  <si>
    <t>Anticipated</t>
  </si>
  <si>
    <t>Sanctioned</t>
  </si>
  <si>
    <t>Name of the Scheme</t>
  </si>
  <si>
    <t>S.No</t>
  </si>
  <si>
    <t>Rs Crores</t>
  </si>
  <si>
    <t>All figures are on gross basis</t>
  </si>
  <si>
    <t>Note :</t>
  </si>
  <si>
    <t>Summary:</t>
  </si>
  <si>
    <t>Proposals under consideration</t>
  </si>
  <si>
    <t xml:space="preserve"> Approved In-principle</t>
  </si>
  <si>
    <t>Cast House defuming System in BF-7</t>
  </si>
  <si>
    <t>Static facility for Env. Sound Mgt of PCB.</t>
  </si>
  <si>
    <t xml:space="preserve">Upgradation of Stoves -BF-4 </t>
  </si>
  <si>
    <t>Implementation of MES</t>
  </si>
  <si>
    <t>Thyristorisation of Plate Mill</t>
  </si>
  <si>
    <t xml:space="preserve">Installation of HAGC and PVR in Plate Mill </t>
  </si>
  <si>
    <t>Technical Upgradation of BF-7</t>
  </si>
  <si>
    <t>Estimate</t>
  </si>
  <si>
    <t>2017-18</t>
  </si>
  <si>
    <t xml:space="preserve">Cost </t>
  </si>
  <si>
    <t>SN</t>
  </si>
  <si>
    <t>31.03.17</t>
  </si>
  <si>
    <t>2018-19</t>
  </si>
  <si>
    <t>D</t>
  </si>
  <si>
    <t>Sub-total (A)</t>
  </si>
  <si>
    <t>Sub-total (B)</t>
  </si>
  <si>
    <t>Total Sanctioned schemes (A+B)</t>
  </si>
  <si>
    <t>Allocation for Sanctioned schemes (A+B)</t>
  </si>
  <si>
    <t>Capital Spares (As per IndAs)</t>
  </si>
  <si>
    <t>Capital Repairs (As per IndAs)</t>
  </si>
  <si>
    <t>Sub-total (C)</t>
  </si>
  <si>
    <t>31.03.18</t>
  </si>
  <si>
    <t>2019-20</t>
  </si>
  <si>
    <t>2020-21</t>
  </si>
  <si>
    <t>2021-22</t>
  </si>
  <si>
    <t>2022-23</t>
  </si>
  <si>
    <t>Rerouting of UnderGround pipelines for hot metal movement</t>
  </si>
  <si>
    <t>Treatment and Recycling of waste water of outlet-C</t>
  </si>
  <si>
    <t>Replacement of Stacker cum reclaimer # 1 &amp; 2 of CPP2 of COCCD</t>
  </si>
  <si>
    <t>Installation of Automatic Mould level control system in Combi caster 3 &amp; 4 of SMS-2</t>
  </si>
  <si>
    <t>Descaling of Special steel slab by enhancing pressure to 250 Kg/cm</t>
  </si>
  <si>
    <t>Quality Assurance and Quality Control Facility (Pkg. No.090A)</t>
  </si>
  <si>
    <t>STEEL AUTHORITY OF INDIA LTD.</t>
  </si>
  <si>
    <t>CAPEX STATUS OF PROJECTS  -SANCTIONED PROJECTS (on-going &amp; completed schemes)</t>
  </si>
  <si>
    <t>Rs in crore</t>
  </si>
  <si>
    <t>Name of the Plant/Unit</t>
  </si>
  <si>
    <t xml:space="preserve">Balance as on </t>
  </si>
  <si>
    <t>Total Estimate</t>
  </si>
  <si>
    <t>Actual</t>
  </si>
  <si>
    <t>Bhilai Steel Plant</t>
  </si>
  <si>
    <t>On-going schemes</t>
  </si>
  <si>
    <t>Completed Schemes</t>
  </si>
  <si>
    <t>Total BSP</t>
  </si>
  <si>
    <t>Durgapur Steel Plant</t>
  </si>
  <si>
    <t>Total DSP</t>
  </si>
  <si>
    <t>Rourkela Steel Plant</t>
  </si>
  <si>
    <t>Total RSP</t>
  </si>
  <si>
    <t>Bokaro Steel Plant</t>
  </si>
  <si>
    <t>Total BSL</t>
  </si>
  <si>
    <t>ISP</t>
  </si>
  <si>
    <t>Total ISP</t>
  </si>
  <si>
    <t>Total ASP</t>
  </si>
  <si>
    <t>Total SSP</t>
  </si>
  <si>
    <t>VISL</t>
  </si>
  <si>
    <t>Total VISL</t>
  </si>
  <si>
    <t>Raw Materials Division</t>
  </si>
  <si>
    <t>Total RMD</t>
  </si>
  <si>
    <t>Central Units</t>
  </si>
  <si>
    <t>JV</t>
  </si>
  <si>
    <t>Total CU  (except JV)</t>
  </si>
  <si>
    <t>Chandrapur Ferro Alloy Plant</t>
  </si>
  <si>
    <t>Total CFP</t>
  </si>
  <si>
    <t>Total SAIL</t>
  </si>
  <si>
    <t>Capital Repair/Spares</t>
  </si>
  <si>
    <t>New Schemes</t>
  </si>
  <si>
    <t>Grand Total</t>
  </si>
  <si>
    <t>01.04.2018</t>
  </si>
  <si>
    <t>2018-23</t>
  </si>
  <si>
    <t>Total</t>
  </si>
  <si>
    <t>Sanctioned Cost</t>
  </si>
  <si>
    <t>Contigency</t>
  </si>
  <si>
    <t>Sanctioned cost / Anticipated cost is without considering CENVAT/ ITC benefits</t>
  </si>
  <si>
    <t>GRAND TOTAL</t>
  </si>
  <si>
    <t>Alloy Steels Plant</t>
  </si>
  <si>
    <t>Salem Steel Plant</t>
  </si>
  <si>
    <t>VISP</t>
  </si>
  <si>
    <t xml:space="preserve">Unsanctioned Schemes </t>
  </si>
  <si>
    <t xml:space="preserve">Sub-Total </t>
  </si>
  <si>
    <t>Capital Repairs &amp; Spares</t>
  </si>
  <si>
    <t>Expenditure Apr-Oct'18</t>
  </si>
  <si>
    <t>Annexure-IV</t>
  </si>
  <si>
    <t>Appendix-3 (contd)</t>
  </si>
  <si>
    <t>CAPEX STATUS OF PROJECTS  -SANCTIONED PROJECTS (MEP)</t>
  </si>
  <si>
    <t>Balance amount</t>
  </si>
  <si>
    <t>2017-22</t>
  </si>
  <si>
    <t>required for completion</t>
  </si>
  <si>
    <t>31.12.16</t>
  </si>
  <si>
    <t>MEP</t>
  </si>
  <si>
    <t>Total Expansion</t>
  </si>
  <si>
    <t>Balance as on 01.04.2018</t>
  </si>
  <si>
    <t>Balance amount required for completion of project after 2019-20</t>
  </si>
  <si>
    <t>of project after 19-20</t>
  </si>
  <si>
    <t>2023-24</t>
  </si>
  <si>
    <t>2004-004</t>
  </si>
  <si>
    <t>2004-038</t>
  </si>
  <si>
    <t>2004-043</t>
  </si>
  <si>
    <t>2005-021</t>
  </si>
  <si>
    <t>2005-0051</t>
  </si>
  <si>
    <t>2011-0059</t>
  </si>
  <si>
    <t>2012-0042</t>
  </si>
  <si>
    <t>2014-0010</t>
  </si>
  <si>
    <t>2011-0053</t>
  </si>
  <si>
    <t>2015-0011</t>
  </si>
  <si>
    <t>2013-0096</t>
  </si>
  <si>
    <t>2014-0032</t>
  </si>
  <si>
    <t>2007-0001/062</t>
  </si>
  <si>
    <t>2007-0001/001-001</t>
  </si>
  <si>
    <t>2007-0001/001-002</t>
  </si>
  <si>
    <t>2007-0001/001-003</t>
  </si>
  <si>
    <t>2007-0001/001-004-001-01</t>
  </si>
  <si>
    <t>2007-0001/002</t>
  </si>
  <si>
    <t>2007-0001/003-001</t>
  </si>
  <si>
    <t>2007-0001/003-003</t>
  </si>
  <si>
    <t>2007-0001/064</t>
  </si>
  <si>
    <t>2007-0001/010</t>
  </si>
  <si>
    <t>2007-0001/011-001-001</t>
  </si>
  <si>
    <t>2007-0001/011-001-002</t>
  </si>
  <si>
    <t>2007-0001/011-001-003</t>
  </si>
  <si>
    <t>2007-0001/012</t>
  </si>
  <si>
    <t>2007-0001/020</t>
  </si>
  <si>
    <t>2007-0001/031</t>
  </si>
  <si>
    <t>2007-0001/061</t>
  </si>
  <si>
    <t>2007-0001/114</t>
  </si>
  <si>
    <t>2007-0001/060</t>
  </si>
  <si>
    <t>2007-0001/033-001</t>
  </si>
  <si>
    <t>2007-0001/033-003</t>
  </si>
  <si>
    <t>2007-0001/033-001-001</t>
  </si>
  <si>
    <t>2007-0001/033-002</t>
  </si>
  <si>
    <t>2007-0001/025</t>
  </si>
  <si>
    <t>2007-0001/025-001</t>
  </si>
  <si>
    <t>2007-0001/026</t>
  </si>
  <si>
    <t>2007-0001/027</t>
  </si>
  <si>
    <t>2007-0001/028</t>
  </si>
  <si>
    <t>2007-0001/029-001</t>
  </si>
  <si>
    <t>2007-0001/029-003</t>
  </si>
  <si>
    <t>2007-0001/029-002-002</t>
  </si>
  <si>
    <t>2007-0001/029-002-001</t>
  </si>
  <si>
    <t>2007-0001/140</t>
  </si>
  <si>
    <t>2007-0001/125-001</t>
  </si>
  <si>
    <t>Fire Protection System for BOF &amp;CCP/ New SMS-III</t>
  </si>
  <si>
    <t>Pneumatic Sample Transport system for BOF,CCP &amp;SRU</t>
  </si>
  <si>
    <t>2007-0001/134</t>
  </si>
  <si>
    <t>2007-0001/124</t>
  </si>
  <si>
    <t>2007-0001/127</t>
  </si>
  <si>
    <t>2007-0001/051-001</t>
  </si>
  <si>
    <t>2007-0001/051-002</t>
  </si>
  <si>
    <t>2007-0001/051-003</t>
  </si>
  <si>
    <t>2007-0001/046</t>
  </si>
  <si>
    <t>2007-0001/049-001</t>
  </si>
  <si>
    <t>2007-0001/052-001</t>
  </si>
  <si>
    <t>2007-0001/052-002</t>
  </si>
  <si>
    <t>2007-0001/047</t>
  </si>
  <si>
    <t>2007-0001/049-003</t>
  </si>
  <si>
    <t>2007-0001/121</t>
  </si>
  <si>
    <t>2007-0001/030</t>
  </si>
  <si>
    <t>2007-0001/142-001</t>
  </si>
  <si>
    <t>2007-0001/142-002</t>
  </si>
  <si>
    <t>2007-0001/050</t>
  </si>
  <si>
    <t>2007-0001/071-001</t>
  </si>
  <si>
    <t>2007-0001/113</t>
  </si>
  <si>
    <t>2007-0001/075</t>
  </si>
  <si>
    <t>2007-0001/075-001</t>
  </si>
  <si>
    <t>2007-0001/075-002</t>
  </si>
  <si>
    <t>2007-0001/076</t>
  </si>
  <si>
    <t>2007-0001/111-001</t>
  </si>
  <si>
    <t>2007-0001/032</t>
  </si>
  <si>
    <t>2007-0001/037</t>
  </si>
  <si>
    <t>2007-0001/078</t>
  </si>
  <si>
    <t>2007-0001/095-002</t>
  </si>
  <si>
    <t>2007-0001/090-007</t>
  </si>
  <si>
    <t>2007-0001/095-001</t>
  </si>
  <si>
    <t>2007-0001/095-003</t>
  </si>
  <si>
    <t>2007-0001/095-004</t>
  </si>
  <si>
    <t>2007-0001/095-005</t>
  </si>
  <si>
    <t>2007-0001/095-006</t>
  </si>
  <si>
    <t>2007-0001/095-007</t>
  </si>
  <si>
    <t>2007-0001/095-008</t>
  </si>
  <si>
    <t>2007-0001/137</t>
  </si>
  <si>
    <t>2007-0001/098-001-001</t>
  </si>
  <si>
    <t>2007-0001/098-003</t>
  </si>
  <si>
    <t>2007-0001/099-001</t>
  </si>
  <si>
    <t>2007-0001/099-002</t>
  </si>
  <si>
    <t>2007-0001/047-001</t>
  </si>
  <si>
    <t>2007-0001/126-002</t>
  </si>
  <si>
    <t>2007-0001/125-002</t>
  </si>
  <si>
    <t>2007-0001/128</t>
  </si>
  <si>
    <t>2007-0001/999</t>
  </si>
  <si>
    <t>2007-0001/997-001</t>
  </si>
  <si>
    <t>Sinter Plant</t>
  </si>
  <si>
    <t>Universal Section Mill</t>
  </si>
  <si>
    <t>Wire Rod &amp; Bar Mill</t>
  </si>
  <si>
    <t>2024-25</t>
  </si>
  <si>
    <t>NPV PAYMENT-KALWARNAGOUR</t>
  </si>
  <si>
    <t>2016-0027</t>
  </si>
  <si>
    <t xml:space="preserve">Purchase of Railway Rolling Stock (freight rakes) by SAIL under GPWIS (Stage-II) </t>
  </si>
  <si>
    <t>Installation of Refinishing Complex in URM</t>
  </si>
  <si>
    <t>Coke Oven Battery # 11 Proper</t>
  </si>
  <si>
    <t>Coke Oven Battery # 11 Equipments</t>
  </si>
  <si>
    <t>14410 T Silica Bricks &amp; 1700 T Silica Mortar</t>
  </si>
  <si>
    <t>Fireclay Bricks -Slab Pavement, Bus Flue &amp; Regenerator</t>
  </si>
  <si>
    <t>Fireclay Bricks - Insulating Walls at Butress, Doors &amp; Standpipe</t>
  </si>
  <si>
    <t>2007-0001/001-004-001-02</t>
  </si>
  <si>
    <t>Checker Bricks</t>
  </si>
  <si>
    <t>2007-0001/001-004-002</t>
  </si>
  <si>
    <t>Fire Clay Bricks for flue &amp; oven roofing</t>
  </si>
  <si>
    <t>2007-0001/001-004-003</t>
  </si>
  <si>
    <t>Fire Clay Bricks for new cob 11</t>
  </si>
  <si>
    <t>2007-0001/001-004-004</t>
  </si>
  <si>
    <t>Mica Insulation Bricks &amp; Mortar</t>
  </si>
  <si>
    <t>2007-0001/001-005</t>
  </si>
  <si>
    <t>Balance Civil work for BOF &amp; CCP</t>
  </si>
  <si>
    <t>Cast in situ Bored Piling Work in SMS-II</t>
  </si>
  <si>
    <t>Structural work for BOF &amp; CCP</t>
  </si>
  <si>
    <t xml:space="preserve"> BOF &amp; CCP complex in SMS-III (Pkg. 033B2)</t>
  </si>
  <si>
    <t>2007-0001/033-005</t>
  </si>
  <si>
    <t>Balance Structural Pkg No.-033-B4</t>
  </si>
  <si>
    <t>2007-0001/033-006</t>
  </si>
  <si>
    <t>Balance Structural Pkg No.-033-B7</t>
  </si>
  <si>
    <t>2007-0001/033-007</t>
  </si>
  <si>
    <t>Balance Structural Pkg No.-033-B5</t>
  </si>
  <si>
    <t>2007-0001/033-008</t>
  </si>
  <si>
    <t>Balance Structural Pkg No.-033-B6</t>
  </si>
  <si>
    <t>2007-0001/033-009</t>
  </si>
  <si>
    <t>2007-0001/033-010</t>
  </si>
  <si>
    <t>Proc. of Indig. Refrac. pkg-02 STE</t>
  </si>
  <si>
    <t>2007-0001/025-006</t>
  </si>
  <si>
    <t>2007-0001/029-002</t>
  </si>
  <si>
    <t>2007-0001/131-002</t>
  </si>
  <si>
    <t>2007-0001/077-001</t>
  </si>
  <si>
    <t>Balance Civil Works of Essential Facilities for External Water System for SMS-3</t>
  </si>
  <si>
    <t>2007-0001/077-004</t>
  </si>
  <si>
    <t>Proc. of various equip under external water system for SMS III</t>
  </si>
  <si>
    <t>2007-0001/077-005</t>
  </si>
  <si>
    <t>Supply and Erection of Storage Tanks for external Water System for SMS III</t>
  </si>
  <si>
    <t>2007-0001/077-006</t>
  </si>
  <si>
    <t xml:space="preserve">Civil Works of WTP-2 under External Water Supply System for SMS-III </t>
  </si>
  <si>
    <t>2007-0001/077-007</t>
  </si>
  <si>
    <t>Balance work for External Water System for SMS-III</t>
  </si>
  <si>
    <t>2007-0001/077-008</t>
  </si>
  <si>
    <t>Air Conditioning System &amp; Ventilation System for BOF &amp; CCP Complex</t>
  </si>
  <si>
    <t>2007-0001/126-001</t>
  </si>
  <si>
    <t xml:space="preserve">Road and Storm Water drainage network for SMS-III </t>
  </si>
  <si>
    <t>2007-0001/100-004-001</t>
  </si>
  <si>
    <t>2007-0001/100-004-002</t>
  </si>
  <si>
    <t>Addl Structural Works  for BRM</t>
  </si>
  <si>
    <t>Air Drying Plant for Universal Rail Mill and Air Drying &amp; Filtration Plant for Bar &amp; Rod Mill (Pkg No 114A)</t>
  </si>
  <si>
    <t>2007-0001/114-001</t>
  </si>
  <si>
    <t>2007-0001/077-002</t>
  </si>
  <si>
    <t>Civil and Structural works for construction of overhead pipe and cable gallery in URM Complex</t>
  </si>
  <si>
    <t>2007-0001/077-003</t>
  </si>
  <si>
    <t>Balance Civil Work for Completion of WTP-5 at BRM</t>
  </si>
  <si>
    <t>2007-0001/077-021</t>
  </si>
  <si>
    <t>Erection, Testing &amp; Commissioning of Balance Electrics for Externam Water System for Mills</t>
  </si>
  <si>
    <t>2007-0001/077-022</t>
  </si>
  <si>
    <t>Proc of various equipment for water packages at URM</t>
  </si>
  <si>
    <t>2007-0001/077-023</t>
  </si>
  <si>
    <t>2007-0001/077-023-008</t>
  </si>
  <si>
    <t>Balance civil works and Structural works for completion of all WTPs in URM and BRM</t>
  </si>
  <si>
    <t>2007-0001/077-024</t>
  </si>
  <si>
    <t>Proc of CS Pipes ofr Balance Piping Works</t>
  </si>
  <si>
    <t>2007-0001/077-025</t>
  </si>
  <si>
    <t>Cast Basalt lined pipes, fittings</t>
  </si>
  <si>
    <t>2007-0001/077-026</t>
  </si>
  <si>
    <t>Procurement of Cooling Towers</t>
  </si>
  <si>
    <t>2007-0001/077-027</t>
  </si>
  <si>
    <t>Balance Work for External Water System for Mills and Fire Water Pump Houses (Package No.077-02A)</t>
  </si>
  <si>
    <t>2007-0001/077-028</t>
  </si>
  <si>
    <t>Civil Work of Overhead tank WTP-3 (URM) and DCW Circuit (BRM)</t>
  </si>
  <si>
    <t>2007-0001/077-029</t>
  </si>
  <si>
    <t>Proc of High Rate Nozzle less Scale Removal Filters and Media</t>
  </si>
  <si>
    <t>2007-0001/077-030</t>
  </si>
  <si>
    <t>Balance Mechanical plant &amp; Equ &amp; Piping work</t>
  </si>
  <si>
    <t>2007-0001/077-002-000-02</t>
  </si>
  <si>
    <t>Fire Protection System in Universal Rail Mill and Bar &amp; Rod Mill</t>
  </si>
  <si>
    <t>CNC Roll Turning Lathe Machines For URM</t>
  </si>
  <si>
    <t>Normalising Furnace</t>
  </si>
  <si>
    <t>Cooling Bed &amp; Pilers</t>
  </si>
  <si>
    <t>2007-0001/048-003</t>
  </si>
  <si>
    <t>Edge Marking Machine</t>
  </si>
  <si>
    <t>2007-0001/048-004</t>
  </si>
  <si>
    <t>40 T EOT + 17 T Semi Portal Cranes</t>
  </si>
  <si>
    <t>2007-0001/048-005</t>
  </si>
  <si>
    <t>CNC Roll Grinding Machine</t>
  </si>
  <si>
    <t>2007-0001/048-006</t>
  </si>
  <si>
    <t>Guillotine Shear</t>
  </si>
  <si>
    <t>2007-0001/048-007</t>
  </si>
  <si>
    <t>Augmentation of Facilities in SMS # 2</t>
  </si>
  <si>
    <t>Material Handling System</t>
  </si>
  <si>
    <t>2007-0001/038-001</t>
  </si>
  <si>
    <t>Gas Cleaning Plant Rectification</t>
  </si>
  <si>
    <t>2007-0001/038-003</t>
  </si>
  <si>
    <t>Augmentation &amp; De-bottlenecking facilities</t>
  </si>
  <si>
    <t>2007-0001/038-006</t>
  </si>
  <si>
    <t>SMS # 2 : Revamping of Dedusting System at +47m level</t>
  </si>
  <si>
    <t>2007-0001/038-012</t>
  </si>
  <si>
    <t>Modification of SP # 2</t>
  </si>
  <si>
    <t>SP # 2 : Cold Sinter Screening System</t>
  </si>
  <si>
    <t>2007-0001/021-001</t>
  </si>
  <si>
    <t>SP # 2 : Lime Dosing</t>
  </si>
  <si>
    <t>2007-0001/021-002</t>
  </si>
  <si>
    <t>SP # 2 : Electrical &amp; Automation System</t>
  </si>
  <si>
    <t>2007-0001/021-003</t>
  </si>
  <si>
    <t>SP # 2 : ESP based Dedusting System</t>
  </si>
  <si>
    <t>2007-0001/021-004</t>
  </si>
  <si>
    <t>2007-0001/070</t>
  </si>
  <si>
    <t>Flyover &amp; Road Network</t>
  </si>
  <si>
    <t>Propane storage &amp; handling system</t>
  </si>
  <si>
    <t>Augmentation of Make-up water and drinking water systems</t>
  </si>
  <si>
    <t>Balance Civil Works of IWPH, DWPH,MWPH and ECRS</t>
  </si>
  <si>
    <t>2007-0001/078-001</t>
  </si>
  <si>
    <t>Balance Outdoor Piping works for Augmentation of Makeup water and Drinking water system</t>
  </si>
  <si>
    <t>2007-0001/078-002</t>
  </si>
  <si>
    <t>Civil works of Balance Outdoor Piping works for Augmentation of Makeup water and Drinking water system</t>
  </si>
  <si>
    <t>2007-0001/078-003</t>
  </si>
  <si>
    <t>Structural works of Balance Outdoor Piping works for Augmentation of Makeup water and Drinking water system</t>
  </si>
  <si>
    <t>2007-0001/078-004</t>
  </si>
  <si>
    <t xml:space="preserve">Procurement of various equipments </t>
  </si>
  <si>
    <t>2007-0001/078-005</t>
  </si>
  <si>
    <t>Procurement of SW pipes from balance outdoor piping work</t>
  </si>
  <si>
    <t>2007-0001/078-006</t>
  </si>
  <si>
    <t>Balance work of Makeup Water and Drinking Water System (Pkg. No 078A)</t>
  </si>
  <si>
    <t>2007-0001/078-007</t>
  </si>
  <si>
    <t>Procurement of SW pipes from balance outdoor piping work from RSP</t>
  </si>
  <si>
    <t>2007-0001/078-008</t>
  </si>
  <si>
    <t>Balance Mechanical plant and Equip. and Piping Work for intake Well and Drinking Water Pump House</t>
  </si>
  <si>
    <t>2007-0001/078-009</t>
  </si>
  <si>
    <t>Erection, Testing, Comm. Of Electrics for intake Well and Drinking Water Pump House</t>
  </si>
  <si>
    <t>2007-0001/078-010</t>
  </si>
  <si>
    <t>Peripheral Yard - Railway Siding</t>
  </si>
  <si>
    <t>Internal Yard - Railway Siding</t>
  </si>
  <si>
    <t>Electricfication work of railway track switching post</t>
  </si>
  <si>
    <t>WDS-6 Locomotives - 4 No.</t>
  </si>
  <si>
    <t>WDS-6 Locomotives - 9 No.</t>
  </si>
  <si>
    <t>2007-0001/098-001-001-02</t>
  </si>
  <si>
    <t>Proc. of Mobile Fire fighting equipments</t>
  </si>
  <si>
    <t>Installation of Hot Metal Rail Weigh Bridges</t>
  </si>
  <si>
    <t>LT S/S 50B and repl 9B&amp;9H</t>
  </si>
  <si>
    <t>2007-0001/118</t>
  </si>
  <si>
    <t>Preliminary Expenses</t>
  </si>
  <si>
    <t>Rerouting of existing ash slurry pippeline at BSP</t>
  </si>
  <si>
    <t>Plant wide Data Network &amp; Fire Detection &amp; Alarm (Package-145)</t>
  </si>
  <si>
    <t>2007-0001/145</t>
  </si>
  <si>
    <t>Implementation of ERP</t>
  </si>
  <si>
    <t>Raw Material Handling Complex</t>
  </si>
  <si>
    <t>Anticipated Cost</t>
  </si>
  <si>
    <t xml:space="preserve">Rebuilding of COB-2 including Coke Sorting Plant </t>
  </si>
  <si>
    <t xml:space="preserve">Raw Material Handling </t>
  </si>
  <si>
    <t xml:space="preserve">Augmentation of SMS </t>
  </si>
  <si>
    <t>New Bloom Cum Round Caster</t>
  </si>
  <si>
    <t>GRAND TOTAL (A+B+C+D)</t>
  </si>
  <si>
    <t>CHECK</t>
  </si>
  <si>
    <t>ANT COST</t>
  </si>
  <si>
    <t>BSP</t>
  </si>
  <si>
    <t>DSP</t>
  </si>
  <si>
    <t>RSP</t>
  </si>
  <si>
    <t>BSL</t>
  </si>
  <si>
    <t>RMD</t>
  </si>
  <si>
    <t>ASP</t>
  </si>
  <si>
    <t>CFP</t>
  </si>
  <si>
    <t>CU</t>
  </si>
  <si>
    <t>Cold Rolling Mill</t>
  </si>
  <si>
    <t>Modn. of SMS-II</t>
  </si>
  <si>
    <t>Power Transmission &amp; Distribution</t>
  </si>
  <si>
    <t>BF and CHSGP in BF 1,2, &amp; 3</t>
  </si>
  <si>
    <t>Modification of HSM</t>
  </si>
  <si>
    <t>Actuals on</t>
  </si>
  <si>
    <t>EXP as on</t>
  </si>
  <si>
    <t>BSP EXP</t>
  </si>
  <si>
    <t>Augmentation of Plate Mill/SMS2</t>
  </si>
  <si>
    <t>and common packages</t>
  </si>
  <si>
    <t>DSP EXP</t>
  </si>
  <si>
    <t>Check</t>
  </si>
  <si>
    <t xml:space="preserve">Power,Ammonium Sulphate Plant and other infrastucture facility </t>
  </si>
  <si>
    <t>RSP EXP</t>
  </si>
  <si>
    <t>COB 6 Complex</t>
  </si>
  <si>
    <t>Blast Furnace # 5 Complex</t>
  </si>
  <si>
    <t>SMS II Complex</t>
  </si>
  <si>
    <t>New Plate Mill complex</t>
  </si>
  <si>
    <t>Other Infrastructure facility</t>
  </si>
  <si>
    <t>BSL EXP</t>
  </si>
  <si>
    <t>SSP</t>
  </si>
  <si>
    <t>Enabling Works Packages,CRM-1,Raw Material Handling,etc</t>
  </si>
  <si>
    <t>ISP EXP</t>
  </si>
  <si>
    <t>COB complex</t>
  </si>
  <si>
    <t>SMS complex</t>
  </si>
  <si>
    <t>Civil Structural Mills</t>
  </si>
  <si>
    <t>Raw material Handling</t>
  </si>
  <si>
    <t>Auxillary and other Pakages</t>
  </si>
  <si>
    <t>Capital Repair &amp; Spares</t>
  </si>
  <si>
    <t>Expenditure 20-21</t>
  </si>
  <si>
    <t>MEP+AMR</t>
  </si>
  <si>
    <t>AMR</t>
  </si>
  <si>
    <t>Sanctioned AMR+MEP</t>
  </si>
  <si>
    <t>Sanctioned MEP</t>
  </si>
  <si>
    <t>Sanctioned AMR</t>
  </si>
  <si>
    <t>Expenditure
AMR+MEP</t>
  </si>
  <si>
    <t>Expenditure MEP</t>
  </si>
  <si>
    <t>Expenditure AMR</t>
  </si>
  <si>
    <t>Expenditure till Mar'20</t>
  </si>
  <si>
    <t>DEC'2020</t>
  </si>
  <si>
    <t>Annexure-I (A)</t>
  </si>
  <si>
    <t>Rs. in Crore</t>
  </si>
  <si>
    <t>2025-26</t>
  </si>
  <si>
    <t>beyond</t>
  </si>
  <si>
    <t>RECHECK</t>
  </si>
  <si>
    <t>Apr-Oct'21</t>
  </si>
  <si>
    <t>Balance amount required for completion of project</t>
  </si>
  <si>
    <t>Beyond</t>
  </si>
  <si>
    <t>31.03.2021</t>
  </si>
  <si>
    <t>Spill over</t>
  </si>
  <si>
    <t>EXP 08</t>
  </si>
  <si>
    <t>Completed schemes (sanctioned prior to Jan'2021)</t>
  </si>
  <si>
    <t>Other schemes &lt;Rs 30 Crore</t>
  </si>
  <si>
    <t>Ongoing Schemes (sanctioned prior to Jan'2021)</t>
  </si>
  <si>
    <t>Capital Repairs/Spares</t>
  </si>
  <si>
    <t>Provision for Schemes to be considered</t>
  </si>
  <si>
    <t>D1</t>
  </si>
  <si>
    <t>Completed Schemes 
(sanctioned subsequent to Dec'2020 i.e.month of processing of AP 2021-22)</t>
  </si>
  <si>
    <t>Sub-total (D1)</t>
  </si>
  <si>
    <t>D2</t>
  </si>
  <si>
    <t>Ongoing Schemes 
(sanctioned subsequent to Dec'2020 i.e.month of processing of AP 2021-22)</t>
  </si>
  <si>
    <t>Sub-total (D2)</t>
  </si>
  <si>
    <t>D3</t>
  </si>
  <si>
    <t>Sub-total (D3)</t>
  </si>
  <si>
    <t>D4</t>
  </si>
  <si>
    <t>Sub-total (D4)</t>
  </si>
  <si>
    <t>Sub-total (D=D1+D2+D3+D4)</t>
  </si>
  <si>
    <t>Allocation for capital repair &amp; spares (C)</t>
  </si>
  <si>
    <t>Allocation for schemes to be considered (D)</t>
  </si>
  <si>
    <t>Anticipated cost worked out on FE rate as on 30.07.21 (1 USD=Rs.75; 1 GBP=Rs.105; 1 EUR=Rs.90; JPY (100 units)=Rs.69)</t>
  </si>
  <si>
    <t>Annexure - I (A) Contd.</t>
  </si>
  <si>
    <t>Allocation for approval of Plant Level Schemes for 2021-22 is inclusive of schemes already sanctioned upto .......'21</t>
  </si>
  <si>
    <t>Jharkhand Group of Mines</t>
  </si>
  <si>
    <t>Odisha Group of Mines</t>
  </si>
  <si>
    <t>Rebuilding of COB # 5</t>
  </si>
  <si>
    <t>New Slab Caster RH &amp; LF in SMS-2</t>
  </si>
  <si>
    <t>Installation of Hot Metal De-sulphurisation unit</t>
  </si>
  <si>
    <t>Power Supply facilities for Oxygen Plant</t>
  </si>
  <si>
    <t xml:space="preserve">Installation of MSDS - 5 </t>
  </si>
  <si>
    <t>Rebuilding of Coke Oven Battery # 6</t>
  </si>
  <si>
    <t>End forging plant for Thick web Rail at R&amp;SM.</t>
  </si>
  <si>
    <t>Electro-Magnetic Stirrer in Bloom Caster</t>
  </si>
  <si>
    <t>30 MLD Sewage Treatment Plant for Township</t>
  </si>
  <si>
    <t>Installation of 700 TPD ASU-4 at OP-2</t>
  </si>
  <si>
    <t>Installation on-line Eddy Cuurent Testing M/c and Optico Visual Inspection System (OVIS) at Short Rail area of RSM</t>
  </si>
  <si>
    <t>Modification of Mid-Stack Cooling System</t>
  </si>
  <si>
    <t>Coal Grinding facilities for CDI of BF 6 &amp; 7.</t>
  </si>
  <si>
    <t>Cold repair COB-9</t>
  </si>
  <si>
    <t>Installation of Evacuation facilities for oxygen from 2*1250 TPD oxygen plant</t>
  </si>
  <si>
    <t>Replacement of sinter cooler of SP-III</t>
  </si>
  <si>
    <t>CDI FOR BF#4</t>
  </si>
  <si>
    <t>2015-0014</t>
  </si>
  <si>
    <t>Rebuilding of Coke Oven Battery No.7 &amp; 8 - Design &amp; engineering drawings, providing expert’s supervision, etc</t>
  </si>
  <si>
    <t>2015-0012/00-01</t>
  </si>
  <si>
    <t>Rebuilding of Coke Oven Battery No.7 &amp; 8 - Enabling works of COB No.7</t>
  </si>
  <si>
    <t>2015-0012/00-02</t>
  </si>
  <si>
    <t>Rebuilding of Coke Oven Battery No.7 &amp; 8 - Battery Proper</t>
  </si>
  <si>
    <t>2015-0012/00-03</t>
  </si>
  <si>
    <t>Rebuilding of Coke Oven Battery No.7 &amp; 8 - Oven Machines</t>
  </si>
  <si>
    <t>2015-0012/00-04</t>
  </si>
  <si>
    <t>Rebuilding of Coke Oven Battery No.7 &amp; 8 - By-Product Plant</t>
  </si>
  <si>
    <t>2015-0012/00-05</t>
  </si>
  <si>
    <t>Rebuilding of Coke Oven Battery No.7 &amp; 8 - others</t>
  </si>
  <si>
    <t>Upgradation of Waste Gas ESPs of SP - III</t>
  </si>
  <si>
    <t>2014-0120</t>
  </si>
  <si>
    <t>Automation of GCPs of BF#1to6</t>
  </si>
  <si>
    <t>2014-0110</t>
  </si>
  <si>
    <t>Repalcement of Static Excitation system of exhauster 3,4 of SP II</t>
  </si>
  <si>
    <t>2014-0073</t>
  </si>
  <si>
    <t>180 Bedded CISF Barracks at Rajhara Mines</t>
  </si>
  <si>
    <t>2011-0110</t>
  </si>
  <si>
    <t>Installation of ESP type gas cleaning system as replacement of multicyclones for all the four sintering machines at SP-2</t>
  </si>
  <si>
    <t>Setting up of Secured Landfill Facility</t>
  </si>
  <si>
    <t>2015-0036</t>
  </si>
  <si>
    <t>Installation of ESP in Sinter Dispatch Route of Sinter Plant-II, Pkg-II, Bhilai Steel Plant</t>
  </si>
  <si>
    <t>2015-0018</t>
  </si>
  <si>
    <t>2020-0019</t>
  </si>
  <si>
    <t>ROWGHAT MINES</t>
  </si>
  <si>
    <t>ROWGHAT BARRACK</t>
  </si>
  <si>
    <t>ROWG-CAMP</t>
  </si>
  <si>
    <t>ROWGHAT CONSULTANCY</t>
  </si>
  <si>
    <t>ROWG-CON</t>
  </si>
  <si>
    <t>Installation of Hydraulic mud gun &amp; drill machine in BF-4</t>
  </si>
  <si>
    <t>2019-0035</t>
  </si>
  <si>
    <t>2018-0042</t>
  </si>
  <si>
    <t>Replacement of Existing Flash Butt Rail Welding Machine in RSM</t>
  </si>
  <si>
    <t>2020-0006</t>
  </si>
  <si>
    <t xml:space="preserve">Modification in the Washing Circuit of Crushing, Screening and Washing (CSW) Plant of Dalli Mines </t>
  </si>
  <si>
    <t>2019-0039</t>
  </si>
  <si>
    <t>Replacement of Converter Vessels, Trunion Rings, Support system and Installation of Secondary Emission Control system for Three Converters in SMS-II</t>
  </si>
  <si>
    <t>Replacement of Stand # 4, 6, 7, 8 &amp; 11 with Housing less stand in Merchant Mill</t>
  </si>
  <si>
    <t>Replacement of Cold Shears in Merchant Mill</t>
  </si>
  <si>
    <t>............. STEEL PLANT - EXPANSION</t>
  </si>
  <si>
    <t>Apr-Sep'21</t>
  </si>
  <si>
    <t>New Coal Handling Plant for COB # 11(062)</t>
  </si>
  <si>
    <t>Bye Product Plant with associated facility(003A)</t>
  </si>
  <si>
    <t>Phenolic Effluent Treatment Plant(003c)</t>
  </si>
  <si>
    <t>Fuel &amp; Flux Crushing Facilities(064)</t>
  </si>
  <si>
    <t>Blast Furnace # 8 Complex</t>
  </si>
  <si>
    <t>Blast Furnace # 8(010)</t>
  </si>
  <si>
    <t>Boilers &amp; STG(011-1A)</t>
  </si>
  <si>
    <t>Steam turbine generator, back pressure turbine generator, cooling water system &amp; power evacuation system(011-01B)</t>
  </si>
  <si>
    <t>3 x 225 M3 DM Water Plant(011-01C)</t>
  </si>
  <si>
    <t>Turbo Blowers and Auxiliaries (012)</t>
  </si>
  <si>
    <t>Second Sintering Machine (360 m2) in SP-3(020)</t>
  </si>
  <si>
    <t>Hot Metal Handling System(031)</t>
  </si>
  <si>
    <t>Ore Handling Plant - Part B(061)</t>
  </si>
  <si>
    <t>Compressed Air Station # 4(114)</t>
  </si>
  <si>
    <t>Civil work for BOF &amp; CCP(033A)</t>
  </si>
  <si>
    <t>Balance Structural (B1+B8)</t>
  </si>
  <si>
    <t>BOF (SMS-3) (025)</t>
  </si>
  <si>
    <t>Secondary Refining Unit for SMS # 3 (25A)</t>
  </si>
  <si>
    <t>CCP (026)</t>
  </si>
  <si>
    <t>Hot Metal Desulphurisation unit for SMS-3 (027)</t>
  </si>
  <si>
    <t>RMP #3 (028)</t>
  </si>
  <si>
    <t>7 No. Cranes for SMS # 3 above 100T Balance (029A)</t>
  </si>
  <si>
    <t>EOT Cranes for SMS # 3 &lt; 100T (029B)</t>
  </si>
  <si>
    <t>EOT Cranes, repair trolleys &amp; under sludge cranes for BOF &amp; CCP (029B2)</t>
  </si>
  <si>
    <t>10 No. EOT Cranes for SMS # 3 &gt; 100T (029A2)</t>
  </si>
  <si>
    <t>Erection testing commissioning of SMS III(131A)</t>
  </si>
  <si>
    <t>Installation of  Cranes for BOF &amp; CCP (21 nos.) (029B1)</t>
  </si>
  <si>
    <t>Interplant Pipe Conveyor from RMP-3 to RMP-2 (140)</t>
  </si>
  <si>
    <t>External water system for SMS-III (077-01A)</t>
  </si>
  <si>
    <t>Balance Work of Fire Protection System for BOF &amp; CCP/New SMS-III Complex(Pkg No. 126-01A) at SMS-III of Bhilai Steel Plant.</t>
  </si>
  <si>
    <t>2007-0001/126-003</t>
  </si>
  <si>
    <t>Illumination,Earthingfor SMS-III(127)</t>
  </si>
  <si>
    <t>55a</t>
  </si>
  <si>
    <t>Installation of Drinking Water System for BOF &amp; CASTER AREA at BSP, BHILAI – Pkg-127A-1 at Bhilai Steel Plant, Bhilai.”</t>
  </si>
  <si>
    <t>2007-0001/127-001</t>
  </si>
  <si>
    <t>Erection, Testing, Cold trial &amp; Assistance in Hot trial of Balance Plant &amp; Equipment (Mechanical &amp; Piping) of CV2 caster (Package No.131</t>
  </si>
  <si>
    <t>2007-0001/131-006</t>
  </si>
  <si>
    <t>Erection, Testing &amp; Commissioning of Oxygen piping system, Nitrogen piping system, Lance cooling piping system for converter-3 of BOF &amp; CCP COMPLEX (Package no.131A-2) at BSP, Bhilai”</t>
  </si>
  <si>
    <t>2007-0001/131-004</t>
  </si>
  <si>
    <t>2007-0001/131-005</t>
  </si>
  <si>
    <t>2007-0001/131-007</t>
  </si>
  <si>
    <t>Civil Works  for BRM (051A1)</t>
  </si>
  <si>
    <t>Structural Works  for BRM (051A2)</t>
  </si>
  <si>
    <t>Bar and Rod Mill (046)</t>
  </si>
  <si>
    <t>Reheating furnace for BRM (049-01)</t>
  </si>
  <si>
    <t>Hoisting &amp; Handling Facilities in BRM &amp; URM (030)</t>
  </si>
  <si>
    <t>Illumination System for BRM,URM &amp;Rail Welding Line (128)</t>
  </si>
  <si>
    <t>Civil Works for Universal Rail Mill (052A)</t>
  </si>
  <si>
    <t>Structural Works for Universal Rail Mill (052B)</t>
  </si>
  <si>
    <t>Universal Rail Mill (047)</t>
  </si>
  <si>
    <t>Reheating furnace for URM (049-03)</t>
  </si>
  <si>
    <t>Rail Welding Plant (121)</t>
  </si>
  <si>
    <t>External water system for Mills &amp; Fire Water Pump House (077-02A)</t>
  </si>
  <si>
    <t>MSDS-VII (070)</t>
  </si>
  <si>
    <t>Installation of HT sub station at BSP (071A)</t>
  </si>
  <si>
    <t>Interplant fuel gas &amp; industrial gases piping for all units (075)</t>
  </si>
  <si>
    <t>Installation of Oxygen and Compressed air pipelines alongwith valves (Pkg-075C) under 7 MT Modernization and Expansion of BSP</t>
  </si>
  <si>
    <t>2007-0001/075-003</t>
  </si>
  <si>
    <t>Gas Mixing and Booster Station (076)</t>
  </si>
  <si>
    <t>2007-0001/111-003</t>
  </si>
  <si>
    <t>Steel issues</t>
  </si>
  <si>
    <t>New package SMS-3 (026C)</t>
  </si>
  <si>
    <t>Unconfirmed packages(PKG90+100-02-04)</t>
  </si>
  <si>
    <t>Misc(fire Station Building)pkg-138</t>
  </si>
  <si>
    <t>pkg-116A,116B1,116B2,117,117A,118R,100-2,110,11-03,11-04</t>
  </si>
  <si>
    <t>1000-0001</t>
  </si>
  <si>
    <t>GRAND TOTAL (A+B+C+D+E)</t>
  </si>
  <si>
    <t>Jharkhand Collieries</t>
  </si>
  <si>
    <t>Name of the Plant/Unit: BHILAI STEEL PLANT</t>
  </si>
  <si>
    <t>Up gradation of Blast Furnace -6-submitted for Stage-I</t>
  </si>
  <si>
    <t>Replacement of Exhauster 7 of Gas Condesation plant 2 of COCCD</t>
  </si>
  <si>
    <t>Inst of 140 tph Walking Beam Furnance in Plate Mill.</t>
  </si>
  <si>
    <t>Procurement of 3 No 140T Rail Crane</t>
  </si>
  <si>
    <t>Complete trck renewal at Nandini Mines</t>
  </si>
  <si>
    <t>Installation of Coal grinding &amp; Injection plant of BF-7</t>
  </si>
  <si>
    <t>Super Accelerated Cooling system(Uniform Cooling) for High strenth Plates</t>
  </si>
  <si>
    <t>Elimination of &gt; 63 mm thicker plate back end sagging (bend)</t>
  </si>
  <si>
    <t>Revamping of grinding m/c in Roll grinding shop</t>
  </si>
  <si>
    <t>Allocation for approval of     FY 2021-22 Rs230 Crore</t>
  </si>
  <si>
    <t>Plant Level Schemes              FY 2022-23 Rs314.00Crore</t>
  </si>
  <si>
    <t>Erection, testing &amp; commissioning of balance jobs of Gas recovery system of BOF complex of SMS-III</t>
  </si>
  <si>
    <t>Erection, Testing, Cold trial &amp; Assistance in Hot trial of electrical works for CV2 caster</t>
  </si>
  <si>
    <t>Koteshwar mines</t>
  </si>
  <si>
    <t>Koteshwar mines have annual plan(BE) for 2021-22 is Rs9.25 crs which .</t>
  </si>
  <si>
    <t>Kuteshwer Mines</t>
  </si>
  <si>
    <t>MEP- Bhilai Steel Plant (BSP)</t>
  </si>
  <si>
    <t>MEP- Durgapur Steel Plant (DSP)</t>
  </si>
  <si>
    <t>MEP- Rourkela Steel Plant (RSP)</t>
  </si>
  <si>
    <t>MEP- Bokaro Steel Plant (BSL)</t>
  </si>
  <si>
    <t>MEP- IISCO Steel Plant (ISP)</t>
  </si>
  <si>
    <t>MEP - Salem Steel Plant (SSP)</t>
  </si>
  <si>
    <t>Total MEP</t>
  </si>
  <si>
    <r>
      <t>A.</t>
    </r>
    <r>
      <rPr>
        <b/>
        <sz val="7"/>
        <rFont val="Times New Roman"/>
        <family val="1"/>
      </rPr>
      <t xml:space="preserve">      </t>
    </r>
    <r>
      <rPr>
        <b/>
        <sz val="10"/>
        <rFont val="Times New Roman"/>
        <family val="1"/>
      </rPr>
      <t>MAJOR AMR SCHEMES</t>
    </r>
  </si>
  <si>
    <r>
      <t>BSP</t>
    </r>
    <r>
      <rPr>
        <sz val="10"/>
        <rFont val="Times New Roman"/>
        <family val="1"/>
      </rPr>
      <t xml:space="preserve"> Rowghat Mine - NPV/Mining Rights/Railway Line/Enabling work/ Power including consultancy </t>
    </r>
  </si>
  <si>
    <r>
      <t xml:space="preserve">DSP </t>
    </r>
    <r>
      <rPr>
        <sz val="10"/>
        <rFont val="Times New Roman"/>
        <family val="1"/>
      </rPr>
      <t>Replacement of Converter Shells in SMS</t>
    </r>
  </si>
  <si>
    <r>
      <t>RSP</t>
    </r>
    <r>
      <rPr>
        <sz val="10"/>
        <rFont val="Times New Roman"/>
        <family val="1"/>
      </rPr>
      <t xml:space="preserve"> New HSM </t>
    </r>
  </si>
  <si>
    <r>
      <t xml:space="preserve">RSP </t>
    </r>
    <r>
      <rPr>
        <sz val="10"/>
        <rFont val="Times New Roman"/>
        <family val="1"/>
      </rPr>
      <t>Rebuilding of COB-2</t>
    </r>
  </si>
  <si>
    <r>
      <t>BSL</t>
    </r>
    <r>
      <rPr>
        <sz val="10"/>
        <rFont val="Times New Roman"/>
        <family val="1"/>
      </rPr>
      <t xml:space="preserve"> Modernisation of SMS-1</t>
    </r>
  </si>
  <si>
    <r>
      <t>BSL</t>
    </r>
    <r>
      <rPr>
        <sz val="10"/>
        <rFont val="Times New Roman"/>
        <family val="1"/>
      </rPr>
      <t xml:space="preserve"> New Sinter Plant</t>
    </r>
  </si>
  <si>
    <r>
      <t>BSL</t>
    </r>
    <r>
      <rPr>
        <sz val="10"/>
        <rFont val="Times New Roman"/>
        <family val="1"/>
      </rPr>
      <t xml:space="preserve"> Rebuilding of COB-8</t>
    </r>
  </si>
  <si>
    <t>Mines</t>
  </si>
  <si>
    <t>Enhancement of Production Capacity at Gua along with Pellet Plant</t>
  </si>
  <si>
    <t>Lease Renewal for Gua, KIOM &amp; MIOM, Bolani Mines (NPV, Compensatory Afforestation, Stamp duty and Registration charges</t>
  </si>
  <si>
    <t>TOTAL Major AMR</t>
  </si>
  <si>
    <t>Expansion</t>
  </si>
  <si>
    <t>Joint Venture including Capitalisation</t>
  </si>
  <si>
    <t>OTHER SMALL SCHEMES</t>
  </si>
  <si>
    <t xml:space="preserve">Sanctioned Schemes </t>
  </si>
  <si>
    <t xml:space="preserve">MEP </t>
  </si>
  <si>
    <t>-</t>
  </si>
  <si>
    <t>JV including capitalisation</t>
  </si>
  <si>
    <t xml:space="preserve">Other AMR Schemes </t>
  </si>
  <si>
    <t>Actual upto Mar’21</t>
  </si>
  <si>
    <t>Actual up to Dec'21</t>
  </si>
  <si>
    <t>BE 22-23</t>
  </si>
  <si>
    <t>RE 21-22</t>
  </si>
  <si>
    <t>BE 21-22</t>
  </si>
  <si>
    <t>CR&amp;S</t>
  </si>
  <si>
    <t>Unsanctioned</t>
  </si>
  <si>
    <t>Total W/O JV</t>
  </si>
  <si>
    <r>
      <t>Central Units</t>
    </r>
    <r>
      <rPr>
        <b/>
        <sz val="10"/>
        <rFont val="Arial"/>
        <family val="2"/>
      </rPr>
      <t xml:space="preserve"> excluding JV</t>
    </r>
  </si>
  <si>
    <t>Exp</t>
  </si>
  <si>
    <t>Plan Total</t>
  </si>
  <si>
    <t xml:space="preserve">Exp Total </t>
  </si>
  <si>
    <t>Actual MEP up to March'21</t>
  </si>
  <si>
    <t>Actual up to March'21</t>
  </si>
  <si>
    <t>Actual till Dec'21</t>
  </si>
  <si>
    <t>Completed AMR schemes</t>
  </si>
  <si>
    <t>Ongoing AMR Schemes</t>
  </si>
  <si>
    <t>Total Sanctioned schemes (A+B+C)</t>
  </si>
  <si>
    <t>E</t>
  </si>
  <si>
    <t>Total Provision for Schemes to be considered (D=D1+D2)</t>
  </si>
  <si>
    <t>Sub-total (E)</t>
  </si>
  <si>
    <t>Allocation for Sanctioned schemes (A+B+C)</t>
  </si>
  <si>
    <t>Allocation for capital repair &amp; spares ( E)</t>
  </si>
  <si>
    <t>Ordered schemes from 'D1'</t>
  </si>
  <si>
    <t>Ordered schemes from 'D2'</t>
  </si>
  <si>
    <t>C1</t>
  </si>
  <si>
    <t>D1-I</t>
  </si>
  <si>
    <t>D2-I</t>
  </si>
  <si>
    <t>Details along with names to be given for &gt;30 Cr schemes (For &lt;30 cr, to be given in table below)</t>
  </si>
  <si>
    <t>Capex plan 1st F/N</t>
  </si>
  <si>
    <t>Capex plan 2nd F/N</t>
  </si>
  <si>
    <t>Actual Capex 1st F/N</t>
  </si>
  <si>
    <t>Actual Capex 2nd F/N</t>
  </si>
  <si>
    <t>Phy. Prog. Plan for the month (%)</t>
  </si>
  <si>
    <t>Actual Prog. For the month (%)</t>
  </si>
  <si>
    <t xml:space="preserve">Name of the Plant/Unit :  </t>
  </si>
  <si>
    <t xml:space="preserve">NOTE: </t>
  </si>
  <si>
    <t>1. Month-wise plan and actuals of Physical progress is to be given for On-going projects costing &gt;Rs.30 Crore</t>
  </si>
  <si>
    <t>2. For projects costing &gt;Rs.150 Crore, F/N plan and actuals of physical progress may also be provided besides monthly data (may be given inside bracket)</t>
  </si>
  <si>
    <t xml:space="preserve">3. Physical &amp; Financial plan/ progress for BOO/ MDO/ COM basis on-going projects also be provided </t>
  </si>
  <si>
    <t>Completed Schemes from 'C'</t>
  </si>
  <si>
    <t>Actual Capex Upto 31.03.2024</t>
  </si>
  <si>
    <t>Physical Progress Upto 31.03.2024 (For &gt;30 Cr On-going)</t>
  </si>
  <si>
    <t>Physical Progress Planned for 2024-25 (For &gt;30 Cr On-going)</t>
  </si>
  <si>
    <t>2024-25      BE</t>
  </si>
  <si>
    <t>Apr'2024</t>
  </si>
  <si>
    <t>May'2024</t>
  </si>
  <si>
    <t>Jun'2024</t>
  </si>
  <si>
    <t>Jul'2024</t>
  </si>
  <si>
    <t>Aug'2024</t>
  </si>
  <si>
    <t>Sep'2024</t>
  </si>
  <si>
    <t>Oct'2024</t>
  </si>
  <si>
    <t>Nov'2024</t>
  </si>
  <si>
    <t>Dec'2024</t>
  </si>
  <si>
    <t>Jan'2025</t>
  </si>
  <si>
    <t>Feb'2025</t>
  </si>
  <si>
    <t>Mar'2025</t>
  </si>
  <si>
    <t xml:space="preserve">Allocation for approval of     FY 2023-24 </t>
  </si>
  <si>
    <t xml:space="preserve">Plant Level Schemes              FY 2024-25 </t>
  </si>
  <si>
    <t>CAPEX of Projects &lt; Rs.30 Crores</t>
  </si>
  <si>
    <t>Category</t>
  </si>
  <si>
    <t>No. of projects</t>
  </si>
  <si>
    <t xml:space="preserve">Total Cost  </t>
  </si>
  <si>
    <t xml:space="preserve">Total expd till month  </t>
  </si>
  <si>
    <t>New Projects (&lt;30 Cr)</t>
  </si>
  <si>
    <t>Under Tendering</t>
  </si>
  <si>
    <t>Under Consideration</t>
  </si>
  <si>
    <t>TOTAL</t>
  </si>
  <si>
    <t>Status</t>
  </si>
  <si>
    <t>Ontime</t>
  </si>
  <si>
    <t>Delayed by &lt;1 year</t>
  </si>
  <si>
    <t>Delayed by &gt;1 year</t>
  </si>
  <si>
    <t>Sub-Total</t>
  </si>
  <si>
    <t>Total Ongoing Projects</t>
  </si>
  <si>
    <t>i)</t>
  </si>
  <si>
    <t>ii)</t>
  </si>
  <si>
    <t xml:space="preserve"> Ongoing since previous FY</t>
  </si>
  <si>
    <t>No of ongoingprojects as on date</t>
  </si>
  <si>
    <t>Installation of Treatment System#1 under ZLD</t>
  </si>
  <si>
    <t>COB#2</t>
  </si>
  <si>
    <t>Caster-IV</t>
  </si>
  <si>
    <t>Power enabling package for oxygen</t>
  </si>
  <si>
    <t>STP for township</t>
  </si>
  <si>
    <t>Others</t>
  </si>
  <si>
    <t>4th Stove BF#5</t>
  </si>
  <si>
    <t>COB#7</t>
  </si>
  <si>
    <t xml:space="preserve">New Product Testing Laboratory </t>
  </si>
  <si>
    <t>CAPEX
Plan</t>
  </si>
  <si>
    <t>Actual CAPEX</t>
  </si>
  <si>
    <t>Cum
CAPEX
Plan</t>
  </si>
  <si>
    <t>Cum
Actual CAPEX</t>
  </si>
  <si>
    <t>Cum Phy. Prog. Plan for the month (%)</t>
  </si>
  <si>
    <t>Cum Actual Prog. For the month (%)</t>
  </si>
  <si>
    <t>Others(NHSM)</t>
  </si>
  <si>
    <t>Others(SMS#3)</t>
  </si>
  <si>
    <t>Completed schemes including IDC</t>
  </si>
  <si>
    <t>Plant AMR</t>
  </si>
  <si>
    <t>Pellet Plant on COM Basis</t>
  </si>
  <si>
    <t>Micro-Pellet Plant on COM Basis</t>
  </si>
  <si>
    <t>Coal Transportation</t>
  </si>
  <si>
    <t>Oxygen Plant on COM Basis</t>
  </si>
  <si>
    <t>Treatment System#2</t>
  </si>
  <si>
    <t>Mixed Gas Booster</t>
  </si>
  <si>
    <t xml:space="preserve"> Ongoing Projects in the Month (Nos.)</t>
  </si>
  <si>
    <t>CAPEX
Plan (RE)</t>
  </si>
  <si>
    <t>Expd till 31.3.26</t>
  </si>
  <si>
    <t>CAPEX (BE) for FY27</t>
  </si>
  <si>
    <t xml:space="preserve">Expd in FY27 till month  </t>
  </si>
  <si>
    <t>No of On-going projects as on 01.04.26</t>
  </si>
  <si>
    <t>No. of projects started in 2026-27</t>
  </si>
  <si>
    <t>No. of projects completed in 2026-27</t>
  </si>
  <si>
    <r>
      <t xml:space="preserve"> Started and completed during 2026-27 
</t>
    </r>
    <r>
      <rPr>
        <b/>
        <sz val="11"/>
        <color rgb="FF00B050"/>
        <rFont val="Times New Roman"/>
        <family val="1"/>
      </rPr>
      <t>(from Sl. No. ii of A at row 8)</t>
    </r>
  </si>
  <si>
    <r>
      <t xml:space="preserve">Old schemes completed in FY26-27
</t>
    </r>
    <r>
      <rPr>
        <sz val="11"/>
        <color rgb="FF00B050"/>
        <rFont val="Times New Roman"/>
        <family val="1"/>
      </rPr>
      <t>(from Sl. No. i of A at row 7)</t>
    </r>
  </si>
  <si>
    <r>
      <t xml:space="preserve">Total Projects completed during FY 26-27 till the month </t>
    </r>
    <r>
      <rPr>
        <b/>
        <sz val="11"/>
        <color rgb="FF00B050"/>
        <rFont val="Times New Roman"/>
        <family val="1"/>
      </rPr>
      <t>(from Sl. No. A at row 6)</t>
    </r>
  </si>
  <si>
    <t xml:space="preserve"> Started during FY26-27</t>
  </si>
</sst>
</file>

<file path=xl/styles.xml><?xml version="1.0" encoding="utf-8"?>
<styleSheet xmlns="http://schemas.openxmlformats.org/spreadsheetml/2006/main">
  <numFmts count="14">
    <numFmt numFmtId="5" formatCode="&quot;₹&quot;\ #,##0;&quot;₹&quot;\ \-#,##0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0_);[Red]\(0.00\)"/>
    <numFmt numFmtId="167" formatCode="General_)"/>
    <numFmt numFmtId="168" formatCode="General\ "/>
    <numFmt numFmtId="169" formatCode="0.0000"/>
    <numFmt numFmtId="170" formatCode="0.00;\-0.00;&quot;-  &quot;"/>
    <numFmt numFmtId="171" formatCode="0.00;[Red]0.00"/>
    <numFmt numFmtId="172" formatCode="mmm\ yy"/>
    <numFmt numFmtId="173" formatCode="_ * #,##0_ ;_ * \-#,##0_ ;_ * &quot;-&quot;??_ ;_ @_ "/>
    <numFmt numFmtId="174" formatCode="0_)"/>
    <numFmt numFmtId="175" formatCode="[$-4009]General"/>
  </numFmts>
  <fonts count="6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u/>
      <sz val="10"/>
      <color indexed="12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0"/>
      <name val="Courier"/>
      <family val="3"/>
    </font>
    <font>
      <sz val="10"/>
      <name val="Courier New"/>
      <family val="3"/>
    </font>
    <font>
      <sz val="10"/>
      <name val="Trebuchet MS"/>
      <family val="2"/>
    </font>
    <font>
      <sz val="7"/>
      <name val="Arial"/>
      <family val="2"/>
    </font>
    <font>
      <b/>
      <sz val="8"/>
      <name val="Arial"/>
      <family val="2"/>
    </font>
    <font>
      <b/>
      <i/>
      <u/>
      <sz val="10"/>
      <name val="Arial"/>
      <family val="2"/>
    </font>
    <font>
      <sz val="10"/>
      <name val="Courier"/>
      <family val="3"/>
    </font>
    <font>
      <sz val="8"/>
      <name val="Arial"/>
      <family val="2"/>
    </font>
    <font>
      <sz val="10"/>
      <name val="Courier"/>
      <family val="3"/>
    </font>
    <font>
      <sz val="6"/>
      <name val="Arial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name val="Trebuchet MS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Courier"/>
      <family val="3"/>
    </font>
    <font>
      <sz val="10"/>
      <name val="Courier"/>
      <family val="3"/>
    </font>
    <font>
      <sz val="11"/>
      <color indexed="8"/>
      <name val="Calibri"/>
      <family val="2"/>
    </font>
    <font>
      <sz val="10"/>
      <name val="Courier"/>
      <family val="3"/>
    </font>
    <font>
      <b/>
      <sz val="7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0000"/>
      <name val="Arial"/>
      <family val="2"/>
    </font>
    <font>
      <sz val="9"/>
      <color theme="1"/>
      <name val="Arial"/>
      <family val="2"/>
    </font>
    <font>
      <sz val="10"/>
      <color rgb="FF00823B"/>
      <name val="Times New Roman"/>
      <family val="1"/>
    </font>
    <font>
      <sz val="10"/>
      <color rgb="FF000000"/>
      <name val="Times New Roman"/>
      <family val="1"/>
    </font>
    <font>
      <b/>
      <sz val="9"/>
      <color theme="1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sz val="10"/>
      <color rgb="FFFF0000"/>
      <name val="Arial"/>
      <family val="2"/>
    </font>
    <font>
      <b/>
      <u/>
      <sz val="10"/>
      <color rgb="FFFF0000"/>
      <name val="Arial"/>
      <family val="2"/>
    </font>
    <font>
      <sz val="11"/>
      <color rgb="FFFF0000"/>
      <name val="Arial"/>
      <family val="2"/>
    </font>
    <font>
      <sz val="9"/>
      <color rgb="FFFF0000"/>
      <name val="Arial"/>
      <family val="2"/>
    </font>
    <font>
      <b/>
      <i/>
      <u/>
      <sz val="10"/>
      <color rgb="FFFF0000"/>
      <name val="Arial"/>
      <family val="2"/>
    </font>
    <font>
      <b/>
      <sz val="9"/>
      <color rgb="FFFF0000"/>
      <name val="Arial"/>
      <family val="2"/>
    </font>
    <font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u/>
      <sz val="11"/>
      <name val="Arial"/>
      <family val="2"/>
    </font>
    <font>
      <b/>
      <sz val="11"/>
      <color rgb="FF000000"/>
      <name val="Times New Roman"/>
      <family val="1"/>
    </font>
    <font>
      <b/>
      <sz val="11"/>
      <color rgb="FF00B050"/>
      <name val="Times New Roman"/>
      <family val="1"/>
    </font>
    <font>
      <sz val="11"/>
      <color rgb="FF00B05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072">
    <xf numFmtId="0" fontId="0" fillId="0" borderId="0"/>
    <xf numFmtId="43" fontId="4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165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169" fontId="34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75" fontId="36" fillId="0" borderId="0" applyBorder="0" applyProtection="0"/>
    <xf numFmtId="174" fontId="36" fillId="0" borderId="0" applyBorder="0" applyProtection="0"/>
    <xf numFmtId="0" fontId="7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13" fillId="0" borderId="0"/>
    <xf numFmtId="0" fontId="4" fillId="0" borderId="0"/>
    <xf numFmtId="0" fontId="34" fillId="0" borderId="0"/>
    <xf numFmtId="0" fontId="21" fillId="0" borderId="0"/>
    <xf numFmtId="0" fontId="24" fillId="0" borderId="0"/>
    <xf numFmtId="0" fontId="13" fillId="0" borderId="0"/>
    <xf numFmtId="0" fontId="13" fillId="0" borderId="0"/>
    <xf numFmtId="0" fontId="21" fillId="0" borderId="0"/>
    <xf numFmtId="0" fontId="24" fillId="0" borderId="0"/>
    <xf numFmtId="0" fontId="13" fillId="0" borderId="0"/>
    <xf numFmtId="0" fontId="13" fillId="0" borderId="0"/>
    <xf numFmtId="0" fontId="34" fillId="0" borderId="0"/>
    <xf numFmtId="0" fontId="34" fillId="0" borderId="0"/>
    <xf numFmtId="167" fontId="30" fillId="0" borderId="0"/>
    <xf numFmtId="0" fontId="34" fillId="0" borderId="0"/>
    <xf numFmtId="167" fontId="32" fillId="0" borderId="0"/>
    <xf numFmtId="0" fontId="34" fillId="0" borderId="0"/>
    <xf numFmtId="0" fontId="34" fillId="0" borderId="0"/>
    <xf numFmtId="0" fontId="4" fillId="0" borderId="0"/>
    <xf numFmtId="0" fontId="4" fillId="0" borderId="0"/>
    <xf numFmtId="0" fontId="34" fillId="0" borderId="0"/>
    <xf numFmtId="0" fontId="34" fillId="0" borderId="0"/>
    <xf numFmtId="0" fontId="3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13" fillId="0" borderId="0"/>
    <xf numFmtId="168" fontId="14" fillId="0" borderId="0"/>
    <xf numFmtId="0" fontId="4" fillId="0" borderId="0"/>
    <xf numFmtId="5" fontId="13" fillId="0" borderId="0"/>
    <xf numFmtId="5" fontId="13" fillId="0" borderId="0"/>
    <xf numFmtId="5" fontId="1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26" fillId="0" borderId="0"/>
    <xf numFmtId="0" fontId="4" fillId="0" borderId="0"/>
    <xf numFmtId="0" fontId="4" fillId="0" borderId="0"/>
    <xf numFmtId="167" fontId="13" fillId="0" borderId="0"/>
    <xf numFmtId="0" fontId="34" fillId="0" borderId="0"/>
    <xf numFmtId="0" fontId="19" fillId="0" borderId="0"/>
    <xf numFmtId="0" fontId="13" fillId="0" borderId="0"/>
    <xf numFmtId="9" fontId="4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7" fontId="13" fillId="0" borderId="0"/>
    <xf numFmtId="0" fontId="1" fillId="0" borderId="0"/>
    <xf numFmtId="167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44">
    <xf numFmtId="0" fontId="0" fillId="0" borderId="0" xfId="0"/>
    <xf numFmtId="0" fontId="9" fillId="0" borderId="1" xfId="0" applyFont="1" applyFill="1" applyBorder="1" applyAlignment="1">
      <alignment horizontal="center" vertical="center"/>
    </xf>
    <xf numFmtId="0" fontId="16" fillId="0" borderId="0" xfId="52" applyFont="1" applyAlignment="1">
      <alignment horizontal="center" vertical="top"/>
    </xf>
    <xf numFmtId="0" fontId="4" fillId="0" borderId="0" xfId="52" applyAlignment="1">
      <alignment vertical="top"/>
    </xf>
    <xf numFmtId="0" fontId="4" fillId="0" borderId="0" xfId="52" applyAlignment="1">
      <alignment horizontal="center" vertical="top"/>
    </xf>
    <xf numFmtId="0" fontId="4" fillId="0" borderId="0" xfId="52" applyFill="1" applyAlignment="1">
      <alignment horizontal="center" vertical="top"/>
    </xf>
    <xf numFmtId="0" fontId="4" fillId="2" borderId="0" xfId="52" applyFill="1" applyAlignment="1">
      <alignment horizontal="center" vertical="top"/>
    </xf>
    <xf numFmtId="0" fontId="9" fillId="0" borderId="0" xfId="52" applyFont="1" applyFill="1" applyBorder="1" applyAlignment="1">
      <alignment horizontal="center" vertical="top"/>
    </xf>
    <xf numFmtId="0" fontId="4" fillId="0" borderId="0" xfId="52" applyFill="1" applyBorder="1" applyAlignment="1">
      <alignment horizontal="left" vertical="top"/>
    </xf>
    <xf numFmtId="0" fontId="9" fillId="0" borderId="1" xfId="52" applyFont="1" applyFill="1" applyBorder="1" applyAlignment="1">
      <alignment horizontal="center" vertical="top"/>
    </xf>
    <xf numFmtId="0" fontId="9" fillId="0" borderId="1" xfId="0" applyFont="1" applyFill="1" applyBorder="1" applyAlignment="1">
      <alignment horizontal="center" vertical="top"/>
    </xf>
    <xf numFmtId="0" fontId="9" fillId="0" borderId="2" xfId="0" applyFont="1" applyFill="1" applyBorder="1" applyAlignment="1">
      <alignment horizontal="center" vertical="top" wrapText="1"/>
    </xf>
    <xf numFmtId="0" fontId="17" fillId="0" borderId="1" xfId="0" applyFont="1" applyFill="1" applyBorder="1" applyAlignment="1">
      <alignment horizontal="center" vertical="top" wrapText="1"/>
    </xf>
    <xf numFmtId="2" fontId="9" fillId="0" borderId="1" xfId="0" applyNumberFormat="1" applyFont="1" applyFill="1" applyBorder="1" applyAlignment="1">
      <alignment horizontal="center" vertical="top"/>
    </xf>
    <xf numFmtId="0" fontId="4" fillId="0" borderId="1" xfId="52" applyFill="1" applyBorder="1" applyAlignment="1">
      <alignment horizontal="center" vertical="top"/>
    </xf>
    <xf numFmtId="0" fontId="11" fillId="0" borderId="1" xfId="52" applyFont="1" applyFill="1" applyBorder="1" applyAlignment="1">
      <alignment vertical="top"/>
    </xf>
    <xf numFmtId="0" fontId="9" fillId="0" borderId="1" xfId="52" applyFont="1" applyFill="1" applyBorder="1" applyAlignment="1">
      <alignment vertical="top"/>
    </xf>
    <xf numFmtId="0" fontId="9" fillId="0" borderId="0" xfId="52" applyFont="1" applyAlignment="1">
      <alignment vertical="top"/>
    </xf>
    <xf numFmtId="0" fontId="4" fillId="0" borderId="1" xfId="52" applyFont="1" applyFill="1" applyBorder="1" applyAlignment="1">
      <alignment horizontal="center" vertical="top"/>
    </xf>
    <xf numFmtId="0" fontId="4" fillId="0" borderId="1" xfId="52" applyFont="1" applyFill="1" applyBorder="1" applyAlignment="1">
      <alignment vertical="top"/>
    </xf>
    <xf numFmtId="1" fontId="4" fillId="0" borderId="1" xfId="52" applyNumberFormat="1" applyFont="1" applyFill="1" applyBorder="1" applyAlignment="1">
      <alignment horizontal="right" vertical="top"/>
    </xf>
    <xf numFmtId="1" fontId="9" fillId="0" borderId="1" xfId="52" applyNumberFormat="1" applyFont="1" applyFill="1" applyBorder="1" applyAlignment="1">
      <alignment horizontal="right" vertical="top"/>
    </xf>
    <xf numFmtId="1" fontId="9" fillId="0" borderId="1" xfId="52" applyNumberFormat="1" applyFont="1" applyFill="1" applyBorder="1" applyAlignment="1">
      <alignment vertical="top"/>
    </xf>
    <xf numFmtId="1" fontId="4" fillId="0" borderId="1" xfId="52" applyNumberFormat="1" applyFill="1" applyBorder="1" applyAlignment="1">
      <alignment horizontal="right" vertical="top"/>
    </xf>
    <xf numFmtId="0" fontId="4" fillId="0" borderId="0" xfId="52" applyFill="1" applyAlignment="1">
      <alignment vertical="top"/>
    </xf>
    <xf numFmtId="0" fontId="9" fillId="0" borderId="0" xfId="52" applyFont="1" applyFill="1" applyAlignment="1">
      <alignment vertical="top"/>
    </xf>
    <xf numFmtId="0" fontId="4" fillId="0" borderId="1" xfId="52" applyFont="1" applyFill="1" applyBorder="1" applyAlignment="1">
      <alignment horizontal="center"/>
    </xf>
    <xf numFmtId="0" fontId="9" fillId="0" borderId="1" xfId="52" applyFont="1" applyFill="1" applyBorder="1" applyAlignment="1"/>
    <xf numFmtId="0" fontId="4" fillId="0" borderId="1" xfId="52" applyFont="1" applyFill="1" applyBorder="1"/>
    <xf numFmtId="0" fontId="9" fillId="0" borderId="0" xfId="52" applyFont="1" applyBorder="1" applyAlignment="1">
      <alignment vertical="top"/>
    </xf>
    <xf numFmtId="1" fontId="9" fillId="0" borderId="0" xfId="52" applyNumberFormat="1" applyFont="1" applyFill="1" applyBorder="1" applyAlignment="1">
      <alignment horizontal="right" vertical="top"/>
    </xf>
    <xf numFmtId="0" fontId="4" fillId="0" borderId="0" xfId="52" applyFont="1" applyAlignment="1">
      <alignment horizontal="center" vertical="top"/>
    </xf>
    <xf numFmtId="1" fontId="4" fillId="0" borderId="0" xfId="52" applyNumberFormat="1" applyFill="1" applyAlignment="1">
      <alignment horizontal="center" vertical="top"/>
    </xf>
    <xf numFmtId="0" fontId="9" fillId="3" borderId="0" xfId="52" applyFont="1" applyFill="1" applyAlignment="1">
      <alignment vertical="top"/>
    </xf>
    <xf numFmtId="0" fontId="4" fillId="0" borderId="3" xfId="52" applyFont="1" applyFill="1" applyBorder="1" applyAlignment="1">
      <alignment horizontal="center"/>
    </xf>
    <xf numFmtId="0" fontId="4" fillId="0" borderId="3" xfId="52" applyFont="1" applyFill="1" applyBorder="1"/>
    <xf numFmtId="1" fontId="9" fillId="0" borderId="3" xfId="52" applyNumberFormat="1" applyFont="1" applyFill="1" applyBorder="1" applyAlignment="1">
      <alignment horizontal="right" vertical="top"/>
    </xf>
    <xf numFmtId="0" fontId="4" fillId="0" borderId="1" xfId="52" applyFill="1" applyBorder="1" applyAlignment="1">
      <alignment horizontal="left" vertical="top"/>
    </xf>
    <xf numFmtId="0" fontId="9" fillId="0" borderId="1" xfId="0" applyFont="1" applyFill="1" applyBorder="1" applyAlignment="1">
      <alignment horizontal="center" vertical="top" wrapText="1"/>
    </xf>
    <xf numFmtId="0" fontId="20" fillId="0" borderId="0" xfId="52" applyFont="1" applyAlignment="1">
      <alignment horizontal="center" vertical="top"/>
    </xf>
    <xf numFmtId="1" fontId="9" fillId="0" borderId="0" xfId="52" applyNumberFormat="1" applyFont="1" applyAlignment="1">
      <alignment vertical="top"/>
    </xf>
    <xf numFmtId="0" fontId="9" fillId="0" borderId="1" xfId="52" applyFont="1" applyBorder="1" applyAlignment="1">
      <alignment horizontal="center" vertical="top"/>
    </xf>
    <xf numFmtId="0" fontId="9" fillId="0" borderId="1" xfId="52" applyFont="1" applyBorder="1" applyAlignment="1">
      <alignment vertical="top"/>
    </xf>
    <xf numFmtId="1" fontId="9" fillId="0" borderId="1" xfId="52" applyNumberFormat="1" applyFont="1" applyBorder="1" applyAlignment="1">
      <alignment horizontal="right" vertical="top"/>
    </xf>
    <xf numFmtId="1" fontId="4" fillId="0" borderId="0" xfId="52" applyNumberFormat="1" applyAlignment="1">
      <alignment vertical="top"/>
    </xf>
    <xf numFmtId="2" fontId="4" fillId="0" borderId="1" xfId="52" applyNumberFormat="1" applyFill="1" applyBorder="1" applyAlignment="1">
      <alignment horizontal="right" vertical="top"/>
    </xf>
    <xf numFmtId="1" fontId="4" fillId="0" borderId="1" xfId="52" applyNumberFormat="1" applyFont="1" applyFill="1" applyBorder="1" applyAlignment="1">
      <alignment vertical="top"/>
    </xf>
    <xf numFmtId="1" fontId="4" fillId="0" borderId="1" xfId="33" applyNumberFormat="1" applyFont="1" applyFill="1" applyBorder="1" applyAlignment="1"/>
    <xf numFmtId="0" fontId="9" fillId="0" borderId="4" xfId="52" applyFont="1" applyFill="1" applyBorder="1" applyAlignment="1">
      <alignment horizontal="center" vertical="top"/>
    </xf>
    <xf numFmtId="0" fontId="9" fillId="0" borderId="4" xfId="52" applyFont="1" applyFill="1" applyBorder="1" applyAlignment="1">
      <alignment vertical="top"/>
    </xf>
    <xf numFmtId="1" fontId="9" fillId="0" borderId="4" xfId="52" applyNumberFormat="1" applyFont="1" applyFill="1" applyBorder="1" applyAlignment="1">
      <alignment horizontal="right" vertical="top"/>
    </xf>
    <xf numFmtId="2" fontId="39" fillId="0" borderId="1" xfId="52" applyNumberFormat="1" applyFont="1" applyFill="1" applyBorder="1" applyAlignment="1">
      <alignment horizontal="right" vertical="top"/>
    </xf>
    <xf numFmtId="2" fontId="4" fillId="0" borderId="1" xfId="52" applyNumberFormat="1" applyFont="1" applyFill="1" applyBorder="1" applyAlignment="1">
      <alignment horizontal="right" vertical="top"/>
    </xf>
    <xf numFmtId="2" fontId="9" fillId="0" borderId="1" xfId="52" applyNumberFormat="1" applyFont="1" applyFill="1" applyBorder="1" applyAlignment="1">
      <alignment horizontal="right" vertical="top"/>
    </xf>
    <xf numFmtId="2" fontId="9" fillId="0" borderId="1" xfId="52" applyNumberFormat="1" applyFont="1" applyFill="1" applyBorder="1" applyAlignment="1">
      <alignment vertical="top"/>
    </xf>
    <xf numFmtId="2" fontId="9" fillId="0" borderId="4" xfId="52" applyNumberFormat="1" applyFont="1" applyFill="1" applyBorder="1" applyAlignment="1">
      <alignment horizontal="right" vertical="top"/>
    </xf>
    <xf numFmtId="2" fontId="9" fillId="0" borderId="3" xfId="52" applyNumberFormat="1" applyFont="1" applyFill="1" applyBorder="1" applyAlignment="1">
      <alignment horizontal="right" vertical="top"/>
    </xf>
    <xf numFmtId="0" fontId="0" fillId="0" borderId="0" xfId="0" applyFill="1" applyBorder="1"/>
    <xf numFmtId="166" fontId="6" fillId="0" borderId="5" xfId="52" applyNumberFormat="1" applyFont="1" applyFill="1" applyBorder="1" applyAlignment="1">
      <alignment vertical="top"/>
    </xf>
    <xf numFmtId="0" fontId="9" fillId="0" borderId="1" xfId="0" applyFont="1" applyFill="1" applyBorder="1"/>
    <xf numFmtId="2" fontId="4" fillId="0" borderId="1" xfId="52" applyNumberFormat="1" applyFont="1" applyFill="1" applyBorder="1" applyAlignment="1">
      <alignment vertical="top"/>
    </xf>
    <xf numFmtId="0" fontId="9" fillId="0" borderId="1" xfId="52" applyFont="1" applyFill="1" applyBorder="1" applyAlignment="1">
      <alignment vertical="center"/>
    </xf>
    <xf numFmtId="0" fontId="6" fillId="0" borderId="1" xfId="52" applyFont="1" applyFill="1" applyBorder="1" applyAlignment="1">
      <alignment vertical="center"/>
    </xf>
    <xf numFmtId="170" fontId="4" fillId="0" borderId="1" xfId="0" applyNumberFormat="1" applyFont="1" applyFill="1" applyBorder="1" applyAlignment="1">
      <alignment horizontal="right" indent="1"/>
    </xf>
    <xf numFmtId="166" fontId="40" fillId="0" borderId="6" xfId="52" applyNumberFormat="1" applyFont="1" applyFill="1" applyBorder="1" applyAlignment="1">
      <alignment horizontal="right"/>
    </xf>
    <xf numFmtId="166" fontId="5" fillId="0" borderId="1" xfId="52" applyNumberFormat="1" applyFont="1" applyFill="1" applyBorder="1" applyAlignment="1">
      <alignment horizontal="right"/>
    </xf>
    <xf numFmtId="166" fontId="40" fillId="0" borderId="1" xfId="52" applyNumberFormat="1" applyFont="1" applyFill="1" applyBorder="1" applyAlignment="1">
      <alignment horizontal="right"/>
    </xf>
    <xf numFmtId="43" fontId="5" fillId="0" borderId="1" xfId="1" applyFont="1" applyFill="1" applyBorder="1" applyAlignment="1">
      <alignment horizontal="right"/>
    </xf>
    <xf numFmtId="2" fontId="4" fillId="0" borderId="1" xfId="548" applyNumberFormat="1" applyFont="1" applyFill="1" applyBorder="1" applyAlignment="1">
      <alignment vertical="center"/>
    </xf>
    <xf numFmtId="0" fontId="9" fillId="0" borderId="0" xfId="0" applyFont="1"/>
    <xf numFmtId="0" fontId="9" fillId="0" borderId="1" xfId="0" applyFont="1" applyBorder="1"/>
    <xf numFmtId="0" fontId="0" fillId="0" borderId="1" xfId="0" applyBorder="1"/>
    <xf numFmtId="14" fontId="9" fillId="0" borderId="1" xfId="0" applyNumberFormat="1" applyFont="1" applyBorder="1"/>
    <xf numFmtId="0" fontId="9" fillId="0" borderId="1" xfId="0" applyFont="1" applyBorder="1" applyAlignment="1">
      <alignment horizontal="center"/>
    </xf>
    <xf numFmtId="2" fontId="0" fillId="0" borderId="1" xfId="0" applyNumberFormat="1" applyBorder="1"/>
    <xf numFmtId="2" fontId="9" fillId="0" borderId="1" xfId="0" applyNumberFormat="1" applyFont="1" applyBorder="1"/>
    <xf numFmtId="2" fontId="4" fillId="0" borderId="0" xfId="0" applyNumberFormat="1" applyFont="1"/>
    <xf numFmtId="0" fontId="6" fillId="0" borderId="1" xfId="52" applyFont="1" applyFill="1" applyBorder="1" applyAlignment="1">
      <alignment vertical="center" wrapText="1"/>
    </xf>
    <xf numFmtId="2" fontId="0" fillId="0" borderId="0" xfId="0" applyNumberFormat="1" applyFill="1" applyBorder="1"/>
    <xf numFmtId="0" fontId="9" fillId="0" borderId="7" xfId="0" applyFont="1" applyBorder="1"/>
    <xf numFmtId="2" fontId="0" fillId="0" borderId="7" xfId="0" applyNumberFormat="1" applyBorder="1"/>
    <xf numFmtId="2" fontId="9" fillId="0" borderId="7" xfId="0" applyNumberFormat="1" applyFont="1" applyBorder="1"/>
    <xf numFmtId="43" fontId="5" fillId="0" borderId="7" xfId="1" applyFont="1" applyFill="1" applyBorder="1" applyAlignment="1">
      <alignment horizontal="right"/>
    </xf>
    <xf numFmtId="166" fontId="40" fillId="0" borderId="7" xfId="52" applyNumberFormat="1" applyFont="1" applyFill="1" applyBorder="1" applyAlignment="1">
      <alignment horizontal="right"/>
    </xf>
    <xf numFmtId="0" fontId="9" fillId="2" borderId="0" xfId="0" applyFont="1" applyFill="1"/>
    <xf numFmtId="0" fontId="6" fillId="2" borderId="5" xfId="52" applyFont="1" applyFill="1" applyBorder="1" applyAlignment="1">
      <alignment vertical="center"/>
    </xf>
    <xf numFmtId="2" fontId="6" fillId="0" borderId="1" xfId="52" applyNumberFormat="1" applyFont="1" applyFill="1" applyBorder="1" applyAlignment="1">
      <alignment vertical="center" wrapText="1"/>
    </xf>
    <xf numFmtId="0" fontId="0" fillId="2" borderId="0" xfId="0" applyFill="1"/>
    <xf numFmtId="0" fontId="9" fillId="2" borderId="1" xfId="0" applyFont="1" applyFill="1" applyBorder="1" applyAlignment="1">
      <alignment wrapText="1"/>
    </xf>
    <xf numFmtId="0" fontId="9" fillId="2" borderId="1" xfId="0" applyFont="1" applyFill="1" applyBorder="1"/>
    <xf numFmtId="0" fontId="0" fillId="2" borderId="1" xfId="0" applyFill="1" applyBorder="1"/>
    <xf numFmtId="2" fontId="0" fillId="2" borderId="1" xfId="0" applyNumberFormat="1" applyFill="1" applyBorder="1"/>
    <xf numFmtId="1" fontId="9" fillId="2" borderId="1" xfId="0" applyNumberFormat="1" applyFont="1" applyFill="1" applyBorder="1"/>
    <xf numFmtId="0" fontId="41" fillId="0" borderId="0" xfId="0" applyFont="1" applyBorder="1" applyAlignment="1">
      <alignment horizontal="center" vertical="center" wrapText="1"/>
    </xf>
    <xf numFmtId="0" fontId="42" fillId="0" borderId="0" xfId="0" applyFont="1" applyBorder="1" applyAlignment="1">
      <alignment horizontal="center" vertical="center" wrapText="1"/>
    </xf>
    <xf numFmtId="0" fontId="0" fillId="0" borderId="0" xfId="0" applyBorder="1"/>
    <xf numFmtId="0" fontId="27" fillId="0" borderId="0" xfId="0" applyFont="1" applyBorder="1" applyAlignment="1">
      <alignment horizontal="center" vertical="center" wrapText="1"/>
    </xf>
    <xf numFmtId="2" fontId="0" fillId="4" borderId="7" xfId="0" applyNumberFormat="1" applyFill="1" applyBorder="1"/>
    <xf numFmtId="0" fontId="9" fillId="4" borderId="7" xfId="0" applyFont="1" applyFill="1" applyBorder="1" applyAlignment="1">
      <alignment horizontal="center"/>
    </xf>
    <xf numFmtId="2" fontId="9" fillId="4" borderId="7" xfId="0" applyNumberFormat="1" applyFont="1" applyFill="1" applyBorder="1"/>
    <xf numFmtId="0" fontId="4" fillId="0" borderId="1" xfId="0" applyFont="1" applyFill="1" applyBorder="1" applyAlignment="1">
      <alignment vertical="top"/>
    </xf>
    <xf numFmtId="2" fontId="0" fillId="0" borderId="2" xfId="0" applyNumberFormat="1" applyBorder="1"/>
    <xf numFmtId="2" fontId="0" fillId="0" borderId="0" xfId="0" applyNumberFormat="1"/>
    <xf numFmtId="0" fontId="4" fillId="0" borderId="0" xfId="0" applyFont="1"/>
    <xf numFmtId="43" fontId="34" fillId="5" borderId="1" xfId="1" applyNumberFormat="1" applyFont="1" applyFill="1" applyBorder="1" applyAlignment="1">
      <alignment horizontal="right"/>
    </xf>
    <xf numFmtId="43" fontId="34" fillId="3" borderId="1" xfId="1" applyNumberFormat="1" applyFont="1" applyFill="1" applyBorder="1" applyAlignment="1">
      <alignment horizontal="right"/>
    </xf>
    <xf numFmtId="43" fontId="34" fillId="0" borderId="1" xfId="1" applyNumberFormat="1" applyFont="1" applyFill="1" applyBorder="1" applyAlignment="1">
      <alignment horizontal="right"/>
    </xf>
    <xf numFmtId="43" fontId="9" fillId="0" borderId="1" xfId="35" applyNumberFormat="1" applyFont="1" applyFill="1" applyBorder="1" applyAlignment="1">
      <alignment horizontal="right"/>
    </xf>
    <xf numFmtId="43" fontId="40" fillId="0" borderId="1" xfId="52" applyNumberFormat="1" applyFont="1" applyFill="1" applyBorder="1" applyAlignment="1">
      <alignment horizontal="right"/>
    </xf>
    <xf numFmtId="0" fontId="4" fillId="0" borderId="0" xfId="35"/>
    <xf numFmtId="167" fontId="4" fillId="0" borderId="0" xfId="420" applyFont="1" applyFill="1" applyAlignment="1">
      <alignment vertical="center"/>
    </xf>
    <xf numFmtId="2" fontId="4" fillId="0" borderId="0" xfId="420" applyNumberFormat="1" applyFont="1" applyFill="1" applyAlignment="1">
      <alignment vertical="center"/>
    </xf>
    <xf numFmtId="167" fontId="4" fillId="0" borderId="0" xfId="420" applyFont="1" applyFill="1" applyBorder="1" applyAlignment="1">
      <alignment vertical="center"/>
    </xf>
    <xf numFmtId="2" fontId="8" fillId="0" borderId="0" xfId="31" applyNumberFormat="1" applyFont="1" applyFill="1" applyBorder="1" applyAlignment="1" applyProtection="1">
      <alignment vertical="center"/>
    </xf>
    <xf numFmtId="2" fontId="8" fillId="0" borderId="0" xfId="31" applyNumberFormat="1" applyFont="1" applyFill="1" applyAlignment="1" applyProtection="1">
      <alignment vertical="center"/>
    </xf>
    <xf numFmtId="2" fontId="4" fillId="0" borderId="1" xfId="420" applyNumberFormat="1" applyFont="1" applyFill="1" applyBorder="1" applyAlignment="1">
      <alignment vertical="center"/>
    </xf>
    <xf numFmtId="167" fontId="9" fillId="0" borderId="1" xfId="420" applyFont="1" applyFill="1" applyBorder="1" applyAlignment="1">
      <alignment vertical="center"/>
    </xf>
    <xf numFmtId="2" fontId="9" fillId="0" borderId="1" xfId="420" applyNumberFormat="1" applyFont="1" applyFill="1" applyBorder="1" applyAlignment="1">
      <alignment horizontal="right" vertical="center"/>
    </xf>
    <xf numFmtId="0" fontId="9" fillId="0" borderId="1" xfId="35" applyFont="1" applyFill="1" applyBorder="1" applyAlignment="1">
      <alignment horizontal="center" vertical="center"/>
    </xf>
    <xf numFmtId="0" fontId="4" fillId="0" borderId="1" xfId="35" applyFont="1" applyFill="1" applyBorder="1" applyAlignment="1">
      <alignment vertical="center"/>
    </xf>
    <xf numFmtId="0" fontId="9" fillId="0" borderId="5" xfId="35" applyFont="1" applyFill="1" applyBorder="1" applyAlignment="1">
      <alignment horizontal="center" vertical="center"/>
    </xf>
    <xf numFmtId="0" fontId="4" fillId="0" borderId="0" xfId="35" applyFont="1" applyFill="1" applyAlignment="1">
      <alignment vertical="center"/>
    </xf>
    <xf numFmtId="0" fontId="9" fillId="0" borderId="5" xfId="35" applyFont="1" applyFill="1" applyBorder="1" applyAlignment="1">
      <alignment vertical="center"/>
    </xf>
    <xf numFmtId="0" fontId="9" fillId="0" borderId="8" xfId="35" applyFont="1" applyFill="1" applyBorder="1" applyAlignment="1">
      <alignment horizontal="center" vertical="center"/>
    </xf>
    <xf numFmtId="166" fontId="4" fillId="0" borderId="0" xfId="35" applyNumberFormat="1" applyFont="1" applyFill="1" applyAlignment="1">
      <alignment vertical="center"/>
    </xf>
    <xf numFmtId="2" fontId="8" fillId="0" borderId="9" xfId="31" applyNumberFormat="1" applyFont="1" applyFill="1" applyBorder="1" applyAlignment="1" applyProtection="1">
      <alignment vertical="center"/>
    </xf>
    <xf numFmtId="2" fontId="8" fillId="0" borderId="10" xfId="31" applyNumberFormat="1" applyFont="1" applyFill="1" applyBorder="1" applyAlignment="1" applyProtection="1">
      <alignment vertical="center"/>
    </xf>
    <xf numFmtId="2" fontId="4" fillId="0" borderId="0" xfId="35" applyNumberFormat="1" applyFont="1" applyFill="1" applyAlignment="1">
      <alignment vertical="center"/>
    </xf>
    <xf numFmtId="0" fontId="4" fillId="0" borderId="0" xfId="35" applyFont="1" applyFill="1" applyBorder="1" applyAlignment="1">
      <alignment vertical="center"/>
    </xf>
    <xf numFmtId="2" fontId="4" fillId="0" borderId="0" xfId="35" applyNumberFormat="1" applyFont="1" applyFill="1" applyBorder="1" applyAlignment="1">
      <alignment vertical="center"/>
    </xf>
    <xf numFmtId="2" fontId="9" fillId="0" borderId="4" xfId="35" applyNumberFormat="1" applyFont="1" applyFill="1" applyBorder="1" applyAlignment="1">
      <alignment horizontal="center" vertical="center"/>
    </xf>
    <xf numFmtId="0" fontId="9" fillId="0" borderId="0" xfId="35" applyFont="1" applyFill="1" applyAlignment="1">
      <alignment vertical="center"/>
    </xf>
    <xf numFmtId="2" fontId="9" fillId="0" borderId="5" xfId="35" applyNumberFormat="1" applyFont="1" applyFill="1" applyBorder="1" applyAlignment="1">
      <alignment horizontal="center" vertical="center"/>
    </xf>
    <xf numFmtId="2" fontId="9" fillId="0" borderId="5" xfId="35" applyNumberFormat="1" applyFont="1" applyFill="1" applyBorder="1" applyAlignment="1">
      <alignment vertical="center"/>
    </xf>
    <xf numFmtId="0" fontId="4" fillId="0" borderId="5" xfId="35" applyFont="1" applyFill="1" applyBorder="1" applyAlignment="1">
      <alignment vertical="center"/>
    </xf>
    <xf numFmtId="2" fontId="4" fillId="0" borderId="5" xfId="35" applyNumberFormat="1" applyFont="1" applyFill="1" applyBorder="1" applyAlignment="1">
      <alignment horizontal="right" vertical="center"/>
    </xf>
    <xf numFmtId="2" fontId="4" fillId="0" borderId="11" xfId="35" applyNumberFormat="1" applyFont="1" applyFill="1" applyBorder="1" applyAlignment="1">
      <alignment horizontal="right" vertical="center"/>
    </xf>
    <xf numFmtId="2" fontId="4" fillId="0" borderId="5" xfId="35" applyNumberFormat="1" applyFont="1" applyFill="1" applyBorder="1" applyAlignment="1">
      <alignment vertical="center"/>
    </xf>
    <xf numFmtId="2" fontId="4" fillId="0" borderId="1" xfId="35" applyNumberFormat="1" applyFont="1" applyFill="1" applyBorder="1" applyAlignment="1">
      <alignment horizontal="center" vertical="center"/>
    </xf>
    <xf numFmtId="2" fontId="9" fillId="0" borderId="1" xfId="35" applyNumberFormat="1" applyFont="1" applyFill="1" applyBorder="1" applyAlignment="1">
      <alignment horizontal="right" vertical="center"/>
    </xf>
    <xf numFmtId="2" fontId="9" fillId="0" borderId="4" xfId="35" applyNumberFormat="1" applyFont="1" applyFill="1" applyBorder="1" applyAlignment="1">
      <alignment horizontal="right" vertical="center"/>
    </xf>
    <xf numFmtId="0" fontId="4" fillId="0" borderId="4" xfId="35" applyFont="1" applyFill="1" applyBorder="1" applyAlignment="1">
      <alignment vertical="center"/>
    </xf>
    <xf numFmtId="2" fontId="9" fillId="0" borderId="11" xfId="35" applyNumberFormat="1" applyFont="1" applyFill="1" applyBorder="1" applyAlignment="1">
      <alignment horizontal="right" vertical="center"/>
    </xf>
    <xf numFmtId="2" fontId="9" fillId="0" borderId="0" xfId="35" applyNumberFormat="1" applyFont="1" applyFill="1" applyBorder="1" applyAlignment="1">
      <alignment horizontal="right" vertical="center"/>
    </xf>
    <xf numFmtId="2" fontId="4" fillId="0" borderId="3" xfId="35" applyNumberFormat="1" applyFont="1" applyFill="1" applyBorder="1" applyAlignment="1">
      <alignment vertical="center"/>
    </xf>
    <xf numFmtId="0" fontId="4" fillId="0" borderId="9" xfId="35" applyFont="1" applyFill="1" applyBorder="1" applyAlignment="1">
      <alignment vertical="center"/>
    </xf>
    <xf numFmtId="2" fontId="4" fillId="0" borderId="1" xfId="35" applyNumberFormat="1" applyFont="1" applyFill="1" applyBorder="1" applyAlignment="1">
      <alignment horizontal="right" vertical="center"/>
    </xf>
    <xf numFmtId="2" fontId="9" fillId="0" borderId="0" xfId="35" applyNumberFormat="1" applyFont="1" applyFill="1" applyBorder="1" applyAlignment="1">
      <alignment vertical="center"/>
    </xf>
    <xf numFmtId="2" fontId="4" fillId="0" borderId="0" xfId="35" applyNumberFormat="1" applyFont="1" applyFill="1" applyAlignment="1">
      <alignment horizontal="right" vertical="center"/>
    </xf>
    <xf numFmtId="2" fontId="9" fillId="0" borderId="1" xfId="35" applyNumberFormat="1" applyFont="1" applyFill="1" applyBorder="1" applyAlignment="1">
      <alignment vertical="center"/>
    </xf>
    <xf numFmtId="2" fontId="4" fillId="0" borderId="1" xfId="35" applyNumberFormat="1" applyFont="1" applyFill="1" applyBorder="1" applyAlignment="1">
      <alignment vertical="center"/>
    </xf>
    <xf numFmtId="2" fontId="4" fillId="0" borderId="4" xfId="35" applyNumberFormat="1" applyFont="1" applyFill="1" applyBorder="1" applyAlignment="1">
      <alignment vertical="center"/>
    </xf>
    <xf numFmtId="2" fontId="9" fillId="0" borderId="12" xfId="35" applyNumberFormat="1" applyFont="1" applyFill="1" applyBorder="1" applyAlignment="1">
      <alignment horizontal="right" vertical="center"/>
    </xf>
    <xf numFmtId="2" fontId="4" fillId="0" borderId="0" xfId="35" applyNumberFormat="1" applyFont="1" applyFill="1"/>
    <xf numFmtId="0" fontId="4" fillId="0" borderId="0" xfId="35" applyFont="1" applyFill="1"/>
    <xf numFmtId="0" fontId="4" fillId="0" borderId="0" xfId="35" applyFill="1"/>
    <xf numFmtId="0" fontId="9" fillId="0" borderId="4" xfId="35" applyFont="1" applyFill="1" applyBorder="1" applyAlignment="1">
      <alignment horizontal="center" vertical="center"/>
    </xf>
    <xf numFmtId="2" fontId="4" fillId="0" borderId="5" xfId="35" applyNumberFormat="1" applyFont="1" applyFill="1" applyBorder="1" applyAlignment="1">
      <alignment horizontal="right" vertical="top"/>
    </xf>
    <xf numFmtId="2" fontId="12" fillId="0" borderId="1" xfId="35" applyNumberFormat="1" applyFont="1" applyFill="1" applyBorder="1" applyAlignment="1">
      <alignment vertical="center"/>
    </xf>
    <xf numFmtId="0" fontId="4" fillId="0" borderId="9" xfId="35" applyFont="1" applyFill="1" applyBorder="1"/>
    <xf numFmtId="1" fontId="9" fillId="0" borderId="0" xfId="35" applyNumberFormat="1" applyFont="1" applyFill="1" applyBorder="1" applyAlignment="1">
      <alignment vertical="center"/>
    </xf>
    <xf numFmtId="0" fontId="9" fillId="0" borderId="8" xfId="35" applyFont="1" applyFill="1" applyBorder="1" applyAlignment="1">
      <alignment horizontal="left" vertical="center"/>
    </xf>
    <xf numFmtId="2" fontId="11" fillId="0" borderId="5" xfId="35" applyNumberFormat="1" applyFont="1" applyFill="1" applyBorder="1" applyAlignment="1">
      <alignment vertical="center"/>
    </xf>
    <xf numFmtId="166" fontId="40" fillId="0" borderId="5" xfId="52" applyNumberFormat="1" applyFont="1" applyFill="1" applyBorder="1" applyAlignment="1">
      <alignment horizontal="right"/>
    </xf>
    <xf numFmtId="2" fontId="4" fillId="0" borderId="11" xfId="35" applyNumberFormat="1" applyFont="1" applyFill="1" applyBorder="1" applyAlignment="1">
      <alignment vertical="center"/>
    </xf>
    <xf numFmtId="2" fontId="4" fillId="0" borderId="5" xfId="35" applyNumberFormat="1" applyFont="1" applyFill="1" applyBorder="1" applyAlignment="1">
      <alignment vertical="top" wrapText="1"/>
    </xf>
    <xf numFmtId="166" fontId="40" fillId="0" borderId="5" xfId="52" applyNumberFormat="1" applyFont="1" applyFill="1" applyBorder="1" applyAlignment="1">
      <alignment horizontal="right" vertical="top"/>
    </xf>
    <xf numFmtId="0" fontId="40" fillId="0" borderId="5" xfId="52" applyFont="1" applyFill="1" applyBorder="1" applyAlignment="1">
      <alignment horizontal="center" vertical="top"/>
    </xf>
    <xf numFmtId="2" fontId="4" fillId="0" borderId="5" xfId="35" applyNumberFormat="1" applyFont="1" applyFill="1" applyBorder="1" applyAlignment="1">
      <alignment horizontal="center" vertical="top" wrapText="1"/>
    </xf>
    <xf numFmtId="2" fontId="4" fillId="0" borderId="5" xfId="35" applyNumberFormat="1" applyFont="1" applyFill="1" applyBorder="1" applyAlignment="1">
      <alignment vertical="top"/>
    </xf>
    <xf numFmtId="2" fontId="4" fillId="0" borderId="1" xfId="35" applyNumberFormat="1" applyFont="1" applyFill="1" applyBorder="1" applyAlignment="1">
      <alignment vertical="top"/>
    </xf>
    <xf numFmtId="2" fontId="8" fillId="0" borderId="0" xfId="31" applyNumberFormat="1" applyFont="1" applyFill="1" applyAlignment="1" applyProtection="1">
      <alignment vertical="top"/>
    </xf>
    <xf numFmtId="166" fontId="4" fillId="0" borderId="0" xfId="35" applyNumberFormat="1" applyFont="1" applyFill="1" applyAlignment="1">
      <alignment vertical="top"/>
    </xf>
    <xf numFmtId="0" fontId="4" fillId="0" borderId="0" xfId="35" applyFont="1" applyFill="1" applyAlignment="1">
      <alignment vertical="top"/>
    </xf>
    <xf numFmtId="2" fontId="11" fillId="0" borderId="0" xfId="31" applyNumberFormat="1" applyFont="1" applyFill="1" applyAlignment="1" applyProtection="1">
      <alignment vertical="center"/>
    </xf>
    <xf numFmtId="0" fontId="4" fillId="0" borderId="10" xfId="35" applyFont="1" applyFill="1" applyBorder="1"/>
    <xf numFmtId="0" fontId="4" fillId="0" borderId="10" xfId="35" applyFont="1" applyFill="1" applyBorder="1" applyAlignment="1">
      <alignment vertical="center"/>
    </xf>
    <xf numFmtId="1" fontId="40" fillId="0" borderId="5" xfId="52" applyNumberFormat="1" applyFont="1" applyFill="1" applyBorder="1" applyAlignment="1">
      <alignment horizontal="center"/>
    </xf>
    <xf numFmtId="1" fontId="40" fillId="0" borderId="8" xfId="52" applyNumberFormat="1" applyFont="1" applyFill="1" applyBorder="1"/>
    <xf numFmtId="2" fontId="6" fillId="0" borderId="1" xfId="35" applyNumberFormat="1" applyFont="1" applyFill="1" applyBorder="1" applyAlignment="1">
      <alignment vertical="center"/>
    </xf>
    <xf numFmtId="2" fontId="4" fillId="0" borderId="5" xfId="35" applyNumberFormat="1" applyFont="1" applyFill="1" applyBorder="1" applyAlignment="1">
      <alignment horizontal="center" vertical="center"/>
    </xf>
    <xf numFmtId="0" fontId="9" fillId="0" borderId="2" xfId="35" applyFont="1" applyFill="1" applyBorder="1" applyAlignment="1">
      <alignment horizontal="center" vertical="center"/>
    </xf>
    <xf numFmtId="2" fontId="9" fillId="0" borderId="2" xfId="35" applyNumberFormat="1" applyFont="1" applyFill="1" applyBorder="1" applyAlignment="1">
      <alignment horizontal="right" vertical="center"/>
    </xf>
    <xf numFmtId="2" fontId="9" fillId="0" borderId="11" xfId="35" applyNumberFormat="1" applyFont="1" applyFill="1" applyBorder="1" applyAlignment="1">
      <alignment vertical="center"/>
    </xf>
    <xf numFmtId="2" fontId="9" fillId="0" borderId="11" xfId="35" applyNumberFormat="1" applyFont="1" applyFill="1" applyBorder="1" applyAlignment="1">
      <alignment vertical="top"/>
    </xf>
    <xf numFmtId="0" fontId="9" fillId="0" borderId="12" xfId="35" applyFont="1" applyFill="1" applyBorder="1" applyAlignment="1">
      <alignment horizontal="center" vertical="center"/>
    </xf>
    <xf numFmtId="0" fontId="9" fillId="0" borderId="11" xfId="35" applyFont="1" applyFill="1" applyBorder="1" applyAlignment="1">
      <alignment horizontal="center" vertical="center"/>
    </xf>
    <xf numFmtId="167" fontId="11" fillId="0" borderId="1" xfId="420" applyFont="1" applyFill="1" applyBorder="1" applyAlignment="1">
      <alignment vertical="center"/>
    </xf>
    <xf numFmtId="166" fontId="40" fillId="0" borderId="1" xfId="52" applyNumberFormat="1" applyFont="1" applyFill="1" applyBorder="1"/>
    <xf numFmtId="0" fontId="40" fillId="0" borderId="1" xfId="52" applyFont="1" applyFill="1" applyBorder="1" applyAlignment="1">
      <alignment horizontal="center"/>
    </xf>
    <xf numFmtId="2" fontId="11" fillId="0" borderId="1" xfId="35" applyNumberFormat="1" applyFont="1" applyFill="1" applyBorder="1" applyAlignment="1">
      <alignment vertical="center"/>
    </xf>
    <xf numFmtId="2" fontId="11" fillId="0" borderId="1" xfId="35" applyNumberFormat="1" applyFont="1" applyFill="1" applyBorder="1" applyAlignment="1">
      <alignment horizontal="center" vertical="center"/>
    </xf>
    <xf numFmtId="166" fontId="40" fillId="0" borderId="1" xfId="52" applyNumberFormat="1" applyFont="1" applyFill="1" applyBorder="1" applyAlignment="1">
      <alignment horizontal="right"/>
    </xf>
    <xf numFmtId="0" fontId="12" fillId="0" borderId="1" xfId="35" applyFont="1" applyFill="1" applyBorder="1" applyAlignment="1">
      <alignment horizontal="left" vertical="center"/>
    </xf>
    <xf numFmtId="2" fontId="4" fillId="0" borderId="1" xfId="35" applyNumberFormat="1" applyFont="1" applyFill="1" applyBorder="1"/>
    <xf numFmtId="172" fontId="40" fillId="0" borderId="1" xfId="52" applyNumberFormat="1" applyFont="1" applyFill="1" applyBorder="1" applyAlignment="1">
      <alignment horizontal="center"/>
    </xf>
    <xf numFmtId="0" fontId="4" fillId="0" borderId="0" xfId="35" applyFont="1" applyFill="1" applyBorder="1"/>
    <xf numFmtId="2" fontId="18" fillId="0" borderId="1" xfId="35" applyNumberFormat="1" applyFont="1" applyFill="1" applyBorder="1" applyAlignment="1">
      <alignment vertical="center"/>
    </xf>
    <xf numFmtId="0" fontId="4" fillId="0" borderId="0" xfId="35" applyFont="1" applyFill="1" applyAlignment="1">
      <alignment horizontal="right" vertical="center"/>
    </xf>
    <xf numFmtId="0" fontId="9" fillId="0" borderId="13" xfId="35" applyFont="1" applyFill="1" applyBorder="1" applyAlignment="1">
      <alignment vertical="center"/>
    </xf>
    <xf numFmtId="0" fontId="9" fillId="0" borderId="13" xfId="35" applyFont="1" applyFill="1" applyBorder="1" applyAlignment="1">
      <alignment horizontal="center" vertical="center"/>
    </xf>
    <xf numFmtId="0" fontId="9" fillId="0" borderId="14" xfId="35" applyFont="1" applyFill="1" applyBorder="1" applyAlignment="1">
      <alignment horizontal="center" vertical="center"/>
    </xf>
    <xf numFmtId="2" fontId="11" fillId="0" borderId="1" xfId="35" applyNumberFormat="1" applyFont="1" applyFill="1" applyBorder="1" applyAlignment="1">
      <alignment horizontal="left" vertical="center" wrapText="1"/>
    </xf>
    <xf numFmtId="1" fontId="9" fillId="0" borderId="4" xfId="35" applyNumberFormat="1" applyFont="1" applyFill="1" applyBorder="1" applyAlignment="1">
      <alignment vertical="center"/>
    </xf>
    <xf numFmtId="0" fontId="6" fillId="0" borderId="3" xfId="35" applyFont="1" applyFill="1" applyBorder="1" applyAlignment="1">
      <alignment vertical="center"/>
    </xf>
    <xf numFmtId="0" fontId="4" fillId="0" borderId="3" xfId="35" applyFont="1" applyFill="1" applyBorder="1" applyAlignment="1">
      <alignment vertical="center"/>
    </xf>
    <xf numFmtId="1" fontId="9" fillId="0" borderId="15" xfId="35" applyNumberFormat="1" applyFont="1" applyFill="1" applyBorder="1" applyAlignment="1">
      <alignment horizontal="center" vertical="center"/>
    </xf>
    <xf numFmtId="1" fontId="9" fillId="0" borderId="16" xfId="35" applyNumberFormat="1" applyFont="1" applyFill="1" applyBorder="1" applyAlignment="1">
      <alignment horizontal="center" vertical="center"/>
    </xf>
    <xf numFmtId="0" fontId="9" fillId="0" borderId="17" xfId="35" applyFont="1" applyFill="1" applyBorder="1" applyAlignment="1">
      <alignment horizontal="center" vertical="center"/>
    </xf>
    <xf numFmtId="1" fontId="9" fillId="0" borderId="18" xfId="35" applyNumberFormat="1" applyFont="1" applyFill="1" applyBorder="1" applyAlignment="1">
      <alignment horizontal="center" vertical="center"/>
    </xf>
    <xf numFmtId="0" fontId="9" fillId="0" borderId="19" xfId="35" applyFont="1" applyFill="1" applyBorder="1" applyAlignment="1">
      <alignment horizontal="center" vertical="center"/>
    </xf>
    <xf numFmtId="1" fontId="9" fillId="0" borderId="16" xfId="35" applyNumberFormat="1" applyFont="1" applyFill="1" applyBorder="1" applyAlignment="1">
      <alignment vertical="center"/>
    </xf>
    <xf numFmtId="1" fontId="9" fillId="0" borderId="18" xfId="35" applyNumberFormat="1" applyFont="1" applyFill="1" applyBorder="1" applyAlignment="1">
      <alignment vertical="center"/>
    </xf>
    <xf numFmtId="1" fontId="9" fillId="0" borderId="20" xfId="35" applyNumberFormat="1" applyFont="1" applyFill="1" applyBorder="1" applyAlignment="1">
      <alignment horizontal="center" vertical="center"/>
    </xf>
    <xf numFmtId="1" fontId="9" fillId="0" borderId="21" xfId="35" applyNumberFormat="1" applyFont="1" applyFill="1" applyBorder="1" applyAlignment="1">
      <alignment horizontal="center" vertical="center"/>
    </xf>
    <xf numFmtId="2" fontId="9" fillId="0" borderId="6" xfId="35" applyNumberFormat="1" applyFont="1" applyFill="1" applyBorder="1" applyAlignment="1">
      <alignment horizontal="right" vertical="center"/>
    </xf>
    <xf numFmtId="1" fontId="9" fillId="0" borderId="22" xfId="35" applyNumberFormat="1" applyFont="1" applyFill="1" applyBorder="1" applyAlignment="1">
      <alignment horizontal="center" vertical="center"/>
    </xf>
    <xf numFmtId="1" fontId="4" fillId="0" borderId="21" xfId="35" applyNumberFormat="1" applyFont="1" applyFill="1" applyBorder="1" applyAlignment="1">
      <alignment horizontal="center" vertical="center"/>
    </xf>
    <xf numFmtId="1" fontId="4" fillId="0" borderId="22" xfId="35" applyNumberFormat="1" applyFont="1" applyFill="1" applyBorder="1" applyAlignment="1">
      <alignment horizontal="center" vertical="center"/>
    </xf>
    <xf numFmtId="0" fontId="9" fillId="0" borderId="23" xfId="35" applyFont="1" applyFill="1" applyBorder="1" applyAlignment="1">
      <alignment horizontal="center" vertical="center"/>
    </xf>
    <xf numFmtId="0" fontId="17" fillId="0" borderId="12" xfId="35" applyFont="1" applyFill="1" applyBorder="1" applyAlignment="1">
      <alignment horizontal="center" vertical="center"/>
    </xf>
    <xf numFmtId="2" fontId="4" fillId="0" borderId="11" xfId="35" applyNumberFormat="1" applyFont="1" applyFill="1" applyBorder="1" applyAlignment="1">
      <alignment vertical="top"/>
    </xf>
    <xf numFmtId="1" fontId="9" fillId="0" borderId="3" xfId="35" applyNumberFormat="1" applyFont="1" applyFill="1" applyBorder="1" applyAlignment="1">
      <alignment vertical="center"/>
    </xf>
    <xf numFmtId="0" fontId="9" fillId="0" borderId="24" xfId="35" applyFont="1" applyFill="1" applyBorder="1" applyAlignment="1">
      <alignment horizontal="center" vertical="center"/>
    </xf>
    <xf numFmtId="2" fontId="4" fillId="0" borderId="24" xfId="35" applyNumberFormat="1" applyFont="1" applyFill="1" applyBorder="1" applyAlignment="1">
      <alignment horizontal="center" vertical="center"/>
    </xf>
    <xf numFmtId="166" fontId="40" fillId="0" borderId="6" xfId="52" applyNumberFormat="1" applyFont="1" applyFill="1" applyBorder="1" applyAlignment="1">
      <alignment horizontal="center"/>
    </xf>
    <xf numFmtId="2" fontId="9" fillId="0" borderId="6" xfId="35" applyNumberFormat="1" applyFont="1" applyFill="1" applyBorder="1" applyAlignment="1">
      <alignment vertical="center"/>
    </xf>
    <xf numFmtId="0" fontId="40" fillId="0" borderId="24" xfId="52" applyFont="1" applyFill="1" applyBorder="1" applyAlignment="1">
      <alignment horizontal="center" vertical="top"/>
    </xf>
    <xf numFmtId="2" fontId="22" fillId="0" borderId="6" xfId="35" applyNumberFormat="1" applyFont="1" applyFill="1" applyBorder="1" applyAlignment="1">
      <alignment horizontal="center" vertical="center" wrapText="1"/>
    </xf>
    <xf numFmtId="0" fontId="40" fillId="0" borderId="6" xfId="52" applyFont="1" applyFill="1" applyBorder="1" applyAlignment="1">
      <alignment horizontal="center"/>
    </xf>
    <xf numFmtId="167" fontId="9" fillId="0" borderId="22" xfId="420" applyFont="1" applyFill="1" applyBorder="1" applyAlignment="1">
      <alignment horizontal="centerContinuous" vertical="center"/>
    </xf>
    <xf numFmtId="167" fontId="4" fillId="0" borderId="6" xfId="420" applyFont="1" applyFill="1" applyBorder="1" applyAlignment="1">
      <alignment vertical="center"/>
    </xf>
    <xf numFmtId="1" fontId="9" fillId="0" borderId="25" xfId="35" applyNumberFormat="1" applyFont="1" applyFill="1" applyBorder="1" applyAlignment="1">
      <alignment horizontal="center" vertical="center"/>
    </xf>
    <xf numFmtId="2" fontId="40" fillId="0" borderId="6" xfId="52" applyNumberFormat="1" applyFont="1" applyFill="1" applyBorder="1" applyAlignment="1">
      <alignment horizontal="center"/>
    </xf>
    <xf numFmtId="1" fontId="4" fillId="0" borderId="21" xfId="35" applyNumberFormat="1" applyFont="1" applyFill="1" applyBorder="1" applyAlignment="1">
      <alignment horizontal="center" vertical="top"/>
    </xf>
    <xf numFmtId="2" fontId="4" fillId="0" borderId="6" xfId="35" applyNumberFormat="1" applyFont="1" applyFill="1" applyBorder="1" applyAlignment="1">
      <alignment vertical="top"/>
    </xf>
    <xf numFmtId="2" fontId="4" fillId="0" borderId="6" xfId="35" applyNumberFormat="1" applyFont="1" applyFill="1" applyBorder="1" applyAlignment="1">
      <alignment vertical="center"/>
    </xf>
    <xf numFmtId="2" fontId="4" fillId="0" borderId="6" xfId="35" applyNumberFormat="1" applyFont="1" applyFill="1" applyBorder="1" applyAlignment="1">
      <alignment horizontal="right" vertical="center"/>
    </xf>
    <xf numFmtId="0" fontId="4" fillId="0" borderId="6" xfId="35" applyFont="1" applyFill="1" applyBorder="1" applyAlignment="1">
      <alignment vertical="center"/>
    </xf>
    <xf numFmtId="1" fontId="4" fillId="0" borderId="26" xfId="35" applyNumberFormat="1" applyFont="1" applyFill="1" applyBorder="1" applyAlignment="1">
      <alignment vertical="center"/>
    </xf>
    <xf numFmtId="0" fontId="4" fillId="0" borderId="27" xfId="35" applyFont="1" applyFill="1" applyBorder="1" applyAlignment="1">
      <alignment vertical="center"/>
    </xf>
    <xf numFmtId="0" fontId="4" fillId="0" borderId="28" xfId="35" applyFont="1" applyFill="1" applyBorder="1" applyAlignment="1">
      <alignment vertical="center"/>
    </xf>
    <xf numFmtId="2" fontId="4" fillId="0" borderId="29" xfId="35" applyNumberFormat="1" applyFont="1" applyFill="1" applyBorder="1" applyAlignment="1">
      <alignment vertical="center"/>
    </xf>
    <xf numFmtId="17" fontId="40" fillId="0" borderId="6" xfId="52" applyNumberFormat="1" applyFont="1" applyFill="1" applyBorder="1" applyAlignment="1">
      <alignment horizontal="center"/>
    </xf>
    <xf numFmtId="1" fontId="5" fillId="0" borderId="22" xfId="35" applyNumberFormat="1" applyFont="1" applyFill="1" applyBorder="1" applyAlignment="1">
      <alignment horizontal="right" vertical="center"/>
    </xf>
    <xf numFmtId="2" fontId="9" fillId="0" borderId="27" xfId="35" applyNumberFormat="1" applyFont="1" applyFill="1" applyBorder="1" applyAlignment="1">
      <alignment vertical="center"/>
    </xf>
    <xf numFmtId="2" fontId="6" fillId="0" borderId="27" xfId="35" applyNumberFormat="1" applyFont="1" applyFill="1" applyBorder="1" applyAlignment="1">
      <alignment vertical="center"/>
    </xf>
    <xf numFmtId="2" fontId="6" fillId="0" borderId="28" xfId="35" applyNumberFormat="1" applyFont="1" applyFill="1" applyBorder="1" applyAlignment="1">
      <alignment vertical="center"/>
    </xf>
    <xf numFmtId="0" fontId="25" fillId="6" borderId="1" xfId="52" applyFont="1" applyFill="1" applyBorder="1" applyAlignment="1">
      <alignment horizontal="left"/>
    </xf>
    <xf numFmtId="0" fontId="15" fillId="0" borderId="1" xfId="52" applyFont="1" applyBorder="1" applyAlignment="1">
      <alignment horizontal="left"/>
    </xf>
    <xf numFmtId="0" fontId="15" fillId="0" borderId="1" xfId="52" applyFont="1" applyBorder="1" applyAlignment="1">
      <alignment horizontal="center"/>
    </xf>
    <xf numFmtId="0" fontId="25" fillId="7" borderId="1" xfId="52" applyFont="1" applyFill="1" applyBorder="1" applyAlignment="1">
      <alignment horizontal="left"/>
    </xf>
    <xf numFmtId="0" fontId="15" fillId="7" borderId="1" xfId="52" applyFont="1" applyFill="1" applyBorder="1" applyAlignment="1">
      <alignment horizontal="left"/>
    </xf>
    <xf numFmtId="0" fontId="15" fillId="0" borderId="1" xfId="52" applyFont="1" applyFill="1" applyBorder="1" applyAlignment="1">
      <alignment horizontal="center"/>
    </xf>
    <xf numFmtId="0" fontId="15" fillId="0" borderId="1" xfId="52" applyFont="1" applyFill="1" applyBorder="1" applyAlignment="1">
      <alignment horizontal="left"/>
    </xf>
    <xf numFmtId="0" fontId="38" fillId="0" borderId="1" xfId="35" applyFont="1" applyFill="1" applyBorder="1"/>
    <xf numFmtId="173" fontId="34" fillId="7" borderId="1" xfId="1" applyNumberFormat="1" applyFont="1" applyFill="1" applyBorder="1" applyAlignment="1">
      <alignment horizontal="center"/>
    </xf>
    <xf numFmtId="2" fontId="9" fillId="0" borderId="13" xfId="35" applyNumberFormat="1" applyFont="1" applyFill="1" applyBorder="1" applyAlignment="1">
      <alignment horizontal="center" vertical="center"/>
    </xf>
    <xf numFmtId="2" fontId="5" fillId="0" borderId="1" xfId="52" applyNumberFormat="1" applyFont="1" applyFill="1" applyBorder="1" applyAlignment="1">
      <alignment horizontal="right"/>
    </xf>
    <xf numFmtId="2" fontId="5" fillId="0" borderId="3" xfId="35" applyNumberFormat="1" applyFont="1" applyFill="1" applyBorder="1" applyAlignment="1">
      <alignment horizontal="center" vertical="center"/>
    </xf>
    <xf numFmtId="2" fontId="9" fillId="0" borderId="27" xfId="35" applyNumberFormat="1" applyFont="1" applyFill="1" applyBorder="1" applyAlignment="1">
      <alignment horizontal="center" vertical="center"/>
    </xf>
    <xf numFmtId="2" fontId="9" fillId="0" borderId="23" xfId="35" applyNumberFormat="1" applyFont="1" applyFill="1" applyBorder="1" applyAlignment="1">
      <alignment horizontal="center" vertical="center"/>
    </xf>
    <xf numFmtId="2" fontId="40" fillId="0" borderId="1" xfId="52" applyNumberFormat="1" applyFont="1" applyFill="1" applyBorder="1" applyAlignment="1">
      <alignment horizontal="right"/>
    </xf>
    <xf numFmtId="1" fontId="4" fillId="0" borderId="1" xfId="35" applyNumberFormat="1" applyFont="1" applyFill="1" applyBorder="1" applyAlignment="1">
      <alignment horizontal="center" vertical="center"/>
    </xf>
    <xf numFmtId="2" fontId="10" fillId="0" borderId="1" xfId="549" applyNumberFormat="1" applyFont="1" applyFill="1" applyBorder="1" applyAlignment="1">
      <alignment vertical="center" wrapText="1"/>
    </xf>
    <xf numFmtId="2" fontId="10" fillId="0" borderId="1" xfId="549" applyNumberFormat="1" applyFont="1" applyFill="1" applyBorder="1" applyAlignment="1">
      <alignment horizontal="left" vertical="center" wrapText="1"/>
    </xf>
    <xf numFmtId="2" fontId="10" fillId="0" borderId="1" xfId="549" applyNumberFormat="1" applyFont="1" applyFill="1" applyBorder="1" applyAlignment="1">
      <alignment vertical="top" wrapText="1"/>
    </xf>
    <xf numFmtId="0" fontId="4" fillId="0" borderId="0" xfId="35" applyFill="1" applyAlignment="1">
      <alignment horizontal="left"/>
    </xf>
    <xf numFmtId="2" fontId="4" fillId="0" borderId="1" xfId="52" applyNumberFormat="1" applyFont="1" applyFill="1" applyBorder="1" applyAlignment="1">
      <alignment vertical="top" wrapText="1"/>
    </xf>
    <xf numFmtId="2" fontId="4" fillId="0" borderId="1" xfId="52" applyNumberFormat="1" applyFont="1" applyFill="1" applyBorder="1" applyAlignment="1">
      <alignment vertical="center" wrapText="1"/>
    </xf>
    <xf numFmtId="166" fontId="43" fillId="0" borderId="1" xfId="52" applyNumberFormat="1" applyFont="1" applyFill="1" applyBorder="1" applyAlignment="1">
      <alignment horizontal="right"/>
    </xf>
    <xf numFmtId="1" fontId="4" fillId="5" borderId="1" xfId="35" applyNumberFormat="1" applyFont="1" applyFill="1" applyBorder="1" applyAlignment="1">
      <alignment horizontal="center" vertical="center"/>
    </xf>
    <xf numFmtId="0" fontId="15" fillId="5" borderId="1" xfId="52" applyFont="1" applyFill="1" applyBorder="1" applyAlignment="1">
      <alignment horizontal="left"/>
    </xf>
    <xf numFmtId="166" fontId="5" fillId="5" borderId="1" xfId="52" applyNumberFormat="1" applyFont="1" applyFill="1" applyBorder="1" applyAlignment="1">
      <alignment horizontal="right"/>
    </xf>
    <xf numFmtId="166" fontId="40" fillId="5" borderId="1" xfId="52" applyNumberFormat="1" applyFont="1" applyFill="1" applyBorder="1" applyAlignment="1">
      <alignment horizontal="right"/>
    </xf>
    <xf numFmtId="0" fontId="40" fillId="5" borderId="1" xfId="52" applyFont="1" applyFill="1" applyBorder="1" applyAlignment="1">
      <alignment horizontal="center"/>
    </xf>
    <xf numFmtId="166" fontId="40" fillId="5" borderId="6" xfId="52" applyNumberFormat="1" applyFont="1" applyFill="1" applyBorder="1" applyAlignment="1">
      <alignment horizontal="center"/>
    </xf>
    <xf numFmtId="2" fontId="9" fillId="5" borderId="11" xfId="35" applyNumberFormat="1" applyFont="1" applyFill="1" applyBorder="1" applyAlignment="1">
      <alignment vertical="center"/>
    </xf>
    <xf numFmtId="2" fontId="4" fillId="5" borderId="5" xfId="35" applyNumberFormat="1" applyFont="1" applyFill="1" applyBorder="1" applyAlignment="1">
      <alignment vertical="center"/>
    </xf>
    <xf numFmtId="2" fontId="4" fillId="5" borderId="1" xfId="35" applyNumberFormat="1" applyFont="1" applyFill="1" applyBorder="1" applyAlignment="1">
      <alignment vertical="center"/>
    </xf>
    <xf numFmtId="2" fontId="8" fillId="5" borderId="0" xfId="31" applyNumberFormat="1" applyFont="1" applyFill="1" applyAlignment="1" applyProtection="1">
      <alignment vertical="center"/>
    </xf>
    <xf numFmtId="2" fontId="4" fillId="5" borderId="0" xfId="35" applyNumberFormat="1" applyFont="1" applyFill="1"/>
    <xf numFmtId="166" fontId="4" fillId="5" borderId="0" xfId="35" applyNumberFormat="1" applyFont="1" applyFill="1" applyAlignment="1">
      <alignment vertical="center"/>
    </xf>
    <xf numFmtId="0" fontId="4" fillId="5" borderId="0" xfId="35" applyFont="1" applyFill="1" applyAlignment="1">
      <alignment vertical="center"/>
    </xf>
    <xf numFmtId="2" fontId="4" fillId="5" borderId="0" xfId="35" applyNumberFormat="1" applyFont="1" applyFill="1" applyAlignment="1">
      <alignment vertical="center"/>
    </xf>
    <xf numFmtId="166" fontId="40" fillId="5" borderId="1" xfId="52" applyNumberFormat="1" applyFont="1" applyFill="1" applyBorder="1"/>
    <xf numFmtId="1" fontId="9" fillId="5" borderId="1" xfId="35" applyNumberFormat="1" applyFont="1" applyFill="1" applyBorder="1" applyAlignment="1">
      <alignment horizontal="center" vertical="center"/>
    </xf>
    <xf numFmtId="2" fontId="18" fillId="5" borderId="1" xfId="35" applyNumberFormat="1" applyFont="1" applyFill="1" applyBorder="1" applyAlignment="1">
      <alignment vertical="center"/>
    </xf>
    <xf numFmtId="2" fontId="9" fillId="5" borderId="1" xfId="35" applyNumberFormat="1" applyFont="1" applyFill="1" applyBorder="1" applyAlignment="1">
      <alignment horizontal="right" vertical="center"/>
    </xf>
    <xf numFmtId="2" fontId="9" fillId="5" borderId="1" xfId="35" applyNumberFormat="1" applyFont="1" applyFill="1" applyBorder="1" applyAlignment="1">
      <alignment vertical="center"/>
    </xf>
    <xf numFmtId="2" fontId="9" fillId="5" borderId="6" xfId="35" applyNumberFormat="1" applyFont="1" applyFill="1" applyBorder="1" applyAlignment="1">
      <alignment vertical="center"/>
    </xf>
    <xf numFmtId="2" fontId="9" fillId="5" borderId="12" xfId="35" applyNumberFormat="1" applyFont="1" applyFill="1" applyBorder="1" applyAlignment="1">
      <alignment horizontal="right" vertical="center"/>
    </xf>
    <xf numFmtId="2" fontId="9" fillId="5" borderId="4" xfId="35" applyNumberFormat="1" applyFont="1" applyFill="1" applyBorder="1" applyAlignment="1">
      <alignment horizontal="right" vertical="center"/>
    </xf>
    <xf numFmtId="2" fontId="8" fillId="5" borderId="0" xfId="31" applyNumberFormat="1" applyFont="1" applyFill="1" applyBorder="1" applyAlignment="1" applyProtection="1">
      <alignment vertical="center"/>
    </xf>
    <xf numFmtId="0" fontId="4" fillId="5" borderId="0" xfId="35" applyFont="1" applyFill="1" applyBorder="1"/>
    <xf numFmtId="166" fontId="4" fillId="5" borderId="0" xfId="35" applyNumberFormat="1" applyFont="1" applyFill="1" applyBorder="1" applyAlignment="1">
      <alignment vertical="center"/>
    </xf>
    <xf numFmtId="0" fontId="4" fillId="5" borderId="0" xfId="35" applyFont="1" applyFill="1" applyBorder="1" applyAlignment="1">
      <alignment vertical="center"/>
    </xf>
    <xf numFmtId="2" fontId="4" fillId="5" borderId="0" xfId="35" applyNumberFormat="1" applyFont="1" applyFill="1" applyBorder="1" applyAlignment="1">
      <alignment vertical="center"/>
    </xf>
    <xf numFmtId="0" fontId="15" fillId="5" borderId="1" xfId="52" applyFont="1" applyFill="1" applyBorder="1" applyAlignment="1">
      <alignment horizontal="center"/>
    </xf>
    <xf numFmtId="0" fontId="40" fillId="5" borderId="6" xfId="52" applyFont="1" applyFill="1" applyBorder="1" applyAlignment="1">
      <alignment horizontal="center"/>
    </xf>
    <xf numFmtId="2" fontId="9" fillId="5" borderId="5" xfId="35" applyNumberFormat="1" applyFont="1" applyFill="1" applyBorder="1" applyAlignment="1">
      <alignment vertical="center"/>
    </xf>
    <xf numFmtId="2" fontId="11" fillId="5" borderId="0" xfId="31" applyNumberFormat="1" applyFont="1" applyFill="1" applyAlignment="1" applyProtection="1">
      <alignment vertical="center"/>
    </xf>
    <xf numFmtId="0" fontId="9" fillId="5" borderId="0" xfId="35" applyFont="1" applyFill="1" applyAlignment="1">
      <alignment vertical="center"/>
    </xf>
    <xf numFmtId="0" fontId="15" fillId="5" borderId="30" xfId="52" applyFont="1" applyFill="1" applyBorder="1" applyAlignment="1">
      <alignment horizontal="center"/>
    </xf>
    <xf numFmtId="0" fontId="15" fillId="3" borderId="1" xfId="52" applyFont="1" applyFill="1" applyBorder="1" applyAlignment="1">
      <alignment horizontal="left"/>
    </xf>
    <xf numFmtId="0" fontId="40" fillId="3" borderId="1" xfId="52" applyFont="1" applyFill="1" applyBorder="1" applyAlignment="1">
      <alignment horizontal="center"/>
    </xf>
    <xf numFmtId="2" fontId="9" fillId="3" borderId="11" xfId="35" applyNumberFormat="1" applyFont="1" applyFill="1" applyBorder="1" applyAlignment="1">
      <alignment vertical="center"/>
    </xf>
    <xf numFmtId="2" fontId="4" fillId="3" borderId="1" xfId="35" applyNumberFormat="1" applyFont="1" applyFill="1" applyBorder="1" applyAlignment="1">
      <alignment vertical="center"/>
    </xf>
    <xf numFmtId="2" fontId="4" fillId="3" borderId="0" xfId="35" applyNumberFormat="1" applyFont="1" applyFill="1"/>
    <xf numFmtId="166" fontId="4" fillId="3" borderId="0" xfId="35" applyNumberFormat="1" applyFont="1" applyFill="1" applyAlignment="1">
      <alignment vertical="center"/>
    </xf>
    <xf numFmtId="2" fontId="8" fillId="3" borderId="0" xfId="31" applyNumberFormat="1" applyFont="1" applyFill="1" applyAlignment="1" applyProtection="1">
      <alignment vertical="center"/>
    </xf>
    <xf numFmtId="2" fontId="4" fillId="3" borderId="0" xfId="35" applyNumberFormat="1" applyFont="1" applyFill="1" applyAlignment="1">
      <alignment vertical="center"/>
    </xf>
    <xf numFmtId="1" fontId="4" fillId="3" borderId="1" xfId="35" applyNumberFormat="1" applyFont="1" applyFill="1" applyBorder="1" applyAlignment="1">
      <alignment horizontal="center" vertical="center"/>
    </xf>
    <xf numFmtId="166" fontId="5" fillId="3" borderId="1" xfId="52" applyNumberFormat="1" applyFont="1" applyFill="1" applyBorder="1" applyAlignment="1">
      <alignment horizontal="right"/>
    </xf>
    <xf numFmtId="166" fontId="40" fillId="3" borderId="1" xfId="52" applyNumberFormat="1" applyFont="1" applyFill="1" applyBorder="1" applyAlignment="1">
      <alignment horizontal="right"/>
    </xf>
    <xf numFmtId="166" fontId="40" fillId="3" borderId="6" xfId="52" applyNumberFormat="1" applyFont="1" applyFill="1" applyBorder="1" applyAlignment="1">
      <alignment horizontal="center"/>
    </xf>
    <xf numFmtId="2" fontId="4" fillId="3" borderId="5" xfId="35" applyNumberFormat="1" applyFont="1" applyFill="1" applyBorder="1" applyAlignment="1">
      <alignment vertical="center"/>
    </xf>
    <xf numFmtId="0" fontId="4" fillId="3" borderId="0" xfId="35" applyFont="1" applyFill="1" applyAlignment="1">
      <alignment vertical="center"/>
    </xf>
    <xf numFmtId="0" fontId="4" fillId="0" borderId="0" xfId="35" applyFill="1" applyAlignment="1">
      <alignment vertical="top"/>
    </xf>
    <xf numFmtId="0" fontId="44" fillId="0" borderId="1" xfId="35" applyFont="1" applyFill="1" applyBorder="1" applyAlignment="1">
      <alignment horizontal="justify" vertical="top" wrapText="1"/>
    </xf>
    <xf numFmtId="0" fontId="45" fillId="0" borderId="1" xfId="35" applyFont="1" applyFill="1" applyBorder="1" applyAlignment="1">
      <alignment horizontal="justify" vertical="top" wrapText="1"/>
    </xf>
    <xf numFmtId="0" fontId="44" fillId="0" borderId="1" xfId="35" applyFont="1" applyFill="1" applyBorder="1" applyAlignment="1">
      <alignment vertical="top" wrapText="1"/>
    </xf>
    <xf numFmtId="0" fontId="44" fillId="0" borderId="1" xfId="35" applyFont="1" applyFill="1" applyBorder="1" applyAlignment="1">
      <alignment horizontal="justify" vertical="top"/>
    </xf>
    <xf numFmtId="0" fontId="46" fillId="0" borderId="1" xfId="35" applyFont="1" applyFill="1" applyBorder="1" applyAlignment="1">
      <alignment horizontal="justify" vertical="top" wrapText="1"/>
    </xf>
    <xf numFmtId="2" fontId="4" fillId="5" borderId="1" xfId="35" applyNumberFormat="1" applyFont="1" applyFill="1" applyBorder="1" applyAlignment="1">
      <alignment horizontal="center" vertical="center"/>
    </xf>
    <xf numFmtId="0" fontId="45" fillId="5" borderId="1" xfId="35" applyFont="1" applyFill="1" applyBorder="1" applyAlignment="1">
      <alignment horizontal="justify" vertical="top" wrapText="1"/>
    </xf>
    <xf numFmtId="2" fontId="4" fillId="5" borderId="3" xfId="35" applyNumberFormat="1" applyFont="1" applyFill="1" applyBorder="1" applyAlignment="1">
      <alignment vertical="center"/>
    </xf>
    <xf numFmtId="0" fontId="4" fillId="5" borderId="0" xfId="35" applyFont="1" applyFill="1"/>
    <xf numFmtId="2" fontId="4" fillId="2" borderId="1" xfId="35" applyNumberFormat="1" applyFont="1" applyFill="1" applyBorder="1" applyAlignment="1">
      <alignment vertical="center"/>
    </xf>
    <xf numFmtId="1" fontId="39" fillId="0" borderId="22" xfId="35" applyNumberFormat="1" applyFont="1" applyFill="1" applyBorder="1" applyAlignment="1">
      <alignment horizontal="center" vertical="top"/>
    </xf>
    <xf numFmtId="2" fontId="47" fillId="0" borderId="1" xfId="35" applyNumberFormat="1" applyFont="1" applyFill="1" applyBorder="1" applyAlignment="1">
      <alignment horizontal="center" vertical="top" wrapText="1"/>
    </xf>
    <xf numFmtId="166" fontId="48" fillId="0" borderId="1" xfId="35" applyNumberFormat="1" applyFont="1" applyFill="1" applyBorder="1" applyAlignment="1">
      <alignment horizontal="right"/>
    </xf>
    <xf numFmtId="0" fontId="46" fillId="0" borderId="1" xfId="35" applyFont="1" applyFill="1" applyBorder="1" applyAlignment="1">
      <alignment horizontal="justify" vertical="center"/>
    </xf>
    <xf numFmtId="0" fontId="46" fillId="0" borderId="3" xfId="35" applyFont="1" applyFill="1" applyBorder="1" applyAlignment="1">
      <alignment horizontal="justify" vertical="center"/>
    </xf>
    <xf numFmtId="2" fontId="46" fillId="0" borderId="5" xfId="35" applyNumberFormat="1" applyFont="1" applyFill="1" applyBorder="1" applyAlignment="1">
      <alignment vertical="top" wrapText="1"/>
    </xf>
    <xf numFmtId="166" fontId="49" fillId="0" borderId="1" xfId="52" applyNumberFormat="1" applyFont="1" applyFill="1" applyBorder="1" applyAlignment="1">
      <alignment horizontal="right"/>
    </xf>
    <xf numFmtId="2" fontId="50" fillId="0" borderId="1" xfId="35" applyNumberFormat="1" applyFont="1" applyFill="1" applyBorder="1" applyAlignment="1">
      <alignment vertical="center"/>
    </xf>
    <xf numFmtId="166" fontId="51" fillId="0" borderId="1" xfId="52" applyNumberFormat="1" applyFont="1" applyFill="1" applyBorder="1" applyAlignment="1">
      <alignment horizontal="right"/>
    </xf>
    <xf numFmtId="2" fontId="49" fillId="0" borderId="1" xfId="52" applyNumberFormat="1" applyFont="1" applyFill="1" applyBorder="1" applyAlignment="1">
      <alignment horizontal="right"/>
    </xf>
    <xf numFmtId="2" fontId="4" fillId="0" borderId="1" xfId="35" applyNumberFormat="1" applyFont="1" applyFill="1" applyBorder="1" applyAlignment="1">
      <alignment vertical="top" wrapText="1"/>
    </xf>
    <xf numFmtId="0" fontId="25" fillId="0" borderId="1" xfId="52" applyFont="1" applyFill="1" applyBorder="1" applyAlignment="1">
      <alignment horizontal="left"/>
    </xf>
    <xf numFmtId="166" fontId="40" fillId="0" borderId="0" xfId="52" applyNumberFormat="1" applyFont="1" applyFill="1" applyBorder="1" applyAlignment="1">
      <alignment horizontal="right"/>
    </xf>
    <xf numFmtId="1" fontId="9" fillId="2" borderId="22" xfId="35" applyNumberFormat="1" applyFont="1" applyFill="1" applyBorder="1" applyAlignment="1">
      <alignment horizontal="center" vertical="center"/>
    </xf>
    <xf numFmtId="173" fontId="37" fillId="2" borderId="1" xfId="1" applyNumberFormat="1" applyFont="1" applyFill="1" applyBorder="1" applyAlignment="1">
      <alignment horizontal="left" vertical="top"/>
    </xf>
    <xf numFmtId="2" fontId="9" fillId="0" borderId="0" xfId="35" applyNumberFormat="1" applyFont="1" applyFill="1" applyBorder="1" applyAlignment="1">
      <alignment horizontal="center" vertical="center"/>
    </xf>
    <xf numFmtId="2" fontId="6" fillId="0" borderId="0" xfId="35" applyNumberFormat="1" applyFont="1" applyFill="1" applyBorder="1" applyAlignment="1">
      <alignment vertical="center"/>
    </xf>
    <xf numFmtId="0" fontId="4" fillId="8" borderId="0" xfId="35" applyFont="1" applyFill="1" applyBorder="1" applyAlignment="1">
      <alignment horizontal="center" vertical="center"/>
    </xf>
    <xf numFmtId="0" fontId="9" fillId="8" borderId="4" xfId="35" applyFont="1" applyFill="1" applyBorder="1" applyAlignment="1">
      <alignment horizontal="center" vertical="center"/>
    </xf>
    <xf numFmtId="0" fontId="9" fillId="8" borderId="13" xfId="35" applyFont="1" applyFill="1" applyBorder="1" applyAlignment="1">
      <alignment horizontal="center" vertical="center"/>
    </xf>
    <xf numFmtId="2" fontId="4" fillId="8" borderId="5" xfId="35" applyNumberFormat="1" applyFont="1" applyFill="1" applyBorder="1" applyAlignment="1">
      <alignment horizontal="center" vertical="center"/>
    </xf>
    <xf numFmtId="2" fontId="4" fillId="8" borderId="0" xfId="35" applyNumberFormat="1" applyFont="1" applyFill="1" applyBorder="1" applyAlignment="1">
      <alignment horizontal="center" vertical="center"/>
    </xf>
    <xf numFmtId="2" fontId="4" fillId="8" borderId="0" xfId="35" applyNumberFormat="1" applyFont="1" applyFill="1" applyAlignment="1">
      <alignment horizontal="center" vertical="center"/>
    </xf>
    <xf numFmtId="0" fontId="4" fillId="8" borderId="1" xfId="35" applyFont="1" applyFill="1" applyBorder="1" applyAlignment="1">
      <alignment horizontal="right"/>
    </xf>
    <xf numFmtId="1" fontId="4" fillId="5" borderId="22" xfId="35" applyNumberFormat="1" applyFont="1" applyFill="1" applyBorder="1" applyAlignment="1">
      <alignment horizontal="centerContinuous" vertical="center"/>
    </xf>
    <xf numFmtId="1" fontId="4" fillId="0" borderId="22" xfId="35" applyNumberFormat="1" applyFont="1" applyFill="1" applyBorder="1" applyAlignment="1">
      <alignment horizontal="centerContinuous" vertical="center"/>
    </xf>
    <xf numFmtId="1" fontId="39" fillId="0" borderId="1" xfId="35" applyNumberFormat="1" applyFont="1" applyFill="1" applyBorder="1" applyAlignment="1">
      <alignment horizontal="center" vertical="top"/>
    </xf>
    <xf numFmtId="1" fontId="46" fillId="0" borderId="1" xfId="35" applyNumberFormat="1" applyFont="1" applyFill="1" applyBorder="1" applyAlignment="1">
      <alignment horizontal="center" vertical="center"/>
    </xf>
    <xf numFmtId="2" fontId="9" fillId="0" borderId="4" xfId="35" applyNumberFormat="1" applyFont="1" applyFill="1" applyBorder="1" applyAlignment="1">
      <alignment vertical="center"/>
    </xf>
    <xf numFmtId="2" fontId="9" fillId="0" borderId="14" xfId="35" applyNumberFormat="1" applyFont="1" applyFill="1" applyBorder="1" applyAlignment="1">
      <alignment vertical="center"/>
    </xf>
    <xf numFmtId="0" fontId="9" fillId="0" borderId="27" xfId="35" applyFont="1" applyFill="1" applyBorder="1" applyAlignment="1">
      <alignment vertical="center"/>
    </xf>
    <xf numFmtId="166" fontId="46" fillId="0" borderId="1" xfId="35" applyNumberFormat="1" applyFont="1" applyFill="1" applyBorder="1" applyAlignment="1">
      <alignment horizontal="right"/>
    </xf>
    <xf numFmtId="2" fontId="9" fillId="5" borderId="1" xfId="35" applyNumberFormat="1" applyFont="1" applyFill="1" applyBorder="1" applyAlignment="1">
      <alignment horizontal="right"/>
    </xf>
    <xf numFmtId="2" fontId="9" fillId="0" borderId="1" xfId="35" applyNumberFormat="1" applyFont="1" applyFill="1" applyBorder="1" applyAlignment="1">
      <alignment horizontal="right"/>
    </xf>
    <xf numFmtId="2" fontId="9" fillId="8" borderId="1" xfId="35" applyNumberFormat="1" applyFont="1" applyFill="1" applyBorder="1" applyAlignment="1">
      <alignment horizontal="right"/>
    </xf>
    <xf numFmtId="2" fontId="4" fillId="0" borderId="1" xfId="35" applyNumberFormat="1" applyFont="1" applyFill="1" applyBorder="1" applyAlignment="1">
      <alignment horizontal="right"/>
    </xf>
    <xf numFmtId="2" fontId="5" fillId="0" borderId="5" xfId="52" applyNumberFormat="1" applyFont="1" applyFill="1" applyBorder="1" applyAlignment="1">
      <alignment horizontal="right"/>
    </xf>
    <xf numFmtId="2" fontId="40" fillId="0" borderId="5" xfId="52" applyNumberFormat="1" applyFont="1" applyFill="1" applyBorder="1" applyAlignment="1">
      <alignment horizontal="right"/>
    </xf>
    <xf numFmtId="0" fontId="52" fillId="0" borderId="1" xfId="35" applyFont="1" applyFill="1" applyBorder="1" applyAlignment="1">
      <alignment horizontal="right" wrapText="1"/>
    </xf>
    <xf numFmtId="2" fontId="9" fillId="0" borderId="1" xfId="420" applyNumberFormat="1" applyFont="1" applyFill="1" applyBorder="1" applyAlignment="1">
      <alignment horizontal="right"/>
    </xf>
    <xf numFmtId="2" fontId="4" fillId="0" borderId="1" xfId="420" applyNumberFormat="1" applyFont="1" applyFill="1" applyBorder="1" applyAlignment="1">
      <alignment horizontal="right"/>
    </xf>
    <xf numFmtId="2" fontId="4" fillId="5" borderId="1" xfId="35" applyNumberFormat="1" applyFont="1" applyFill="1" applyBorder="1" applyAlignment="1">
      <alignment horizontal="right"/>
    </xf>
    <xf numFmtId="2" fontId="46" fillId="0" borderId="1" xfId="35" applyNumberFormat="1" applyFont="1" applyFill="1" applyBorder="1" applyAlignment="1">
      <alignment horizontal="right"/>
    </xf>
    <xf numFmtId="2" fontId="5" fillId="0" borderId="3" xfId="35" applyNumberFormat="1" applyFont="1" applyFill="1" applyBorder="1" applyAlignment="1">
      <alignment horizontal="right"/>
    </xf>
    <xf numFmtId="2" fontId="5" fillId="8" borderId="3" xfId="35" applyNumberFormat="1" applyFont="1" applyFill="1" applyBorder="1" applyAlignment="1">
      <alignment horizontal="right"/>
    </xf>
    <xf numFmtId="2" fontId="9" fillId="0" borderId="4" xfId="35" applyNumberFormat="1" applyFont="1" applyFill="1" applyBorder="1" applyAlignment="1">
      <alignment horizontal="right"/>
    </xf>
    <xf numFmtId="2" fontId="9" fillId="8" borderId="4" xfId="35" applyNumberFormat="1" applyFont="1" applyFill="1" applyBorder="1" applyAlignment="1">
      <alignment horizontal="right"/>
    </xf>
    <xf numFmtId="2" fontId="9" fillId="0" borderId="14" xfId="35" applyNumberFormat="1" applyFont="1" applyFill="1" applyBorder="1" applyAlignment="1">
      <alignment horizontal="right"/>
    </xf>
    <xf numFmtId="2" fontId="9" fillId="8" borderId="14" xfId="35" applyNumberFormat="1" applyFont="1" applyFill="1" applyBorder="1" applyAlignment="1">
      <alignment horizontal="right"/>
    </xf>
    <xf numFmtId="2" fontId="9" fillId="0" borderId="31" xfId="35" applyNumberFormat="1" applyFont="1" applyFill="1" applyBorder="1" applyAlignment="1">
      <alignment horizontal="right"/>
    </xf>
    <xf numFmtId="2" fontId="9" fillId="2" borderId="1" xfId="35" applyNumberFormat="1" applyFont="1" applyFill="1" applyBorder="1" applyAlignment="1">
      <alignment horizontal="right"/>
    </xf>
    <xf numFmtId="2" fontId="9" fillId="2" borderId="6" xfId="35" applyNumberFormat="1" applyFont="1" applyFill="1" applyBorder="1" applyAlignment="1">
      <alignment horizontal="right"/>
    </xf>
    <xf numFmtId="173" fontId="34" fillId="0" borderId="1" xfId="1" applyNumberFormat="1" applyFont="1" applyFill="1" applyBorder="1" applyAlignment="1">
      <alignment horizontal="right"/>
    </xf>
    <xf numFmtId="166" fontId="5" fillId="8" borderId="1" xfId="52" applyNumberFormat="1" applyFont="1" applyFill="1" applyBorder="1" applyAlignment="1">
      <alignment horizontal="right"/>
    </xf>
    <xf numFmtId="173" fontId="34" fillId="3" borderId="1" xfId="1" applyNumberFormat="1" applyFont="1" applyFill="1" applyBorder="1" applyAlignment="1">
      <alignment horizontal="right"/>
    </xf>
    <xf numFmtId="173" fontId="34" fillId="5" borderId="1" xfId="1" applyNumberFormat="1" applyFont="1" applyFill="1" applyBorder="1" applyAlignment="1">
      <alignment horizontal="right"/>
    </xf>
    <xf numFmtId="166" fontId="5" fillId="8" borderId="5" xfId="52" applyNumberFormat="1" applyFont="1" applyFill="1" applyBorder="1" applyAlignment="1">
      <alignment horizontal="right"/>
    </xf>
    <xf numFmtId="173" fontId="34" fillId="8" borderId="1" xfId="1" applyNumberFormat="1" applyFont="1" applyFill="1" applyBorder="1" applyAlignment="1">
      <alignment horizontal="right"/>
    </xf>
    <xf numFmtId="0" fontId="9" fillId="0" borderId="1" xfId="35" applyFont="1" applyFill="1" applyBorder="1" applyAlignment="1">
      <alignment horizontal="right"/>
    </xf>
    <xf numFmtId="173" fontId="37" fillId="5" borderId="1" xfId="1" applyNumberFormat="1" applyFont="1" applyFill="1" applyBorder="1" applyAlignment="1">
      <alignment horizontal="right"/>
    </xf>
    <xf numFmtId="173" fontId="37" fillId="0" borderId="1" xfId="1" applyNumberFormat="1" applyFont="1" applyFill="1" applyBorder="1" applyAlignment="1">
      <alignment horizontal="right"/>
    </xf>
    <xf numFmtId="173" fontId="37" fillId="8" borderId="1" xfId="1" applyNumberFormat="1" applyFont="1" applyFill="1" applyBorder="1" applyAlignment="1">
      <alignment horizontal="right"/>
    </xf>
    <xf numFmtId="2" fontId="9" fillId="8" borderId="1" xfId="420" applyNumberFormat="1" applyFont="1" applyFill="1" applyBorder="1" applyAlignment="1">
      <alignment horizontal="right"/>
    </xf>
    <xf numFmtId="166" fontId="6" fillId="5" borderId="1" xfId="52" applyNumberFormat="1" applyFont="1" applyFill="1" applyBorder="1" applyAlignment="1">
      <alignment horizontal="right"/>
    </xf>
    <xf numFmtId="166" fontId="6" fillId="0" borderId="1" xfId="52" applyNumberFormat="1" applyFont="1" applyFill="1" applyBorder="1" applyAlignment="1">
      <alignment horizontal="right"/>
    </xf>
    <xf numFmtId="166" fontId="40" fillId="8" borderId="1" xfId="52" applyNumberFormat="1" applyFont="1" applyFill="1" applyBorder="1" applyAlignment="1">
      <alignment horizontal="right"/>
    </xf>
    <xf numFmtId="2" fontId="39" fillId="8" borderId="1" xfId="35" applyNumberFormat="1" applyFont="1" applyFill="1" applyBorder="1" applyAlignment="1">
      <alignment horizontal="right"/>
    </xf>
    <xf numFmtId="171" fontId="4" fillId="0" borderId="7" xfId="52" applyNumberFormat="1" applyFont="1" applyFill="1" applyBorder="1" applyAlignment="1">
      <alignment horizontal="right"/>
    </xf>
    <xf numFmtId="0" fontId="4" fillId="0" borderId="1" xfId="35" applyFont="1" applyFill="1" applyBorder="1" applyAlignment="1">
      <alignment horizontal="right"/>
    </xf>
    <xf numFmtId="0" fontId="4" fillId="0" borderId="27" xfId="35" applyFont="1" applyFill="1" applyBorder="1" applyAlignment="1">
      <alignment horizontal="right"/>
    </xf>
    <xf numFmtId="2" fontId="4" fillId="0" borderId="27" xfId="35" applyNumberFormat="1" applyFont="1" applyFill="1" applyBorder="1" applyAlignment="1">
      <alignment horizontal="right"/>
    </xf>
    <xf numFmtId="0" fontId="4" fillId="8" borderId="27" xfId="35" applyFont="1" applyFill="1" applyBorder="1" applyAlignment="1">
      <alignment horizontal="right"/>
    </xf>
    <xf numFmtId="0" fontId="4" fillId="0" borderId="3" xfId="35" applyFont="1" applyFill="1" applyBorder="1" applyAlignment="1">
      <alignment horizontal="right"/>
    </xf>
    <xf numFmtId="0" fontId="4" fillId="8" borderId="3" xfId="35" applyFont="1" applyFill="1" applyBorder="1" applyAlignment="1">
      <alignment horizontal="right"/>
    </xf>
    <xf numFmtId="2" fontId="4" fillId="0" borderId="3" xfId="35" applyNumberFormat="1" applyFont="1" applyFill="1" applyBorder="1" applyAlignment="1">
      <alignment horizontal="right"/>
    </xf>
    <xf numFmtId="0" fontId="4" fillId="0" borderId="4" xfId="35" applyFont="1" applyFill="1" applyBorder="1" applyAlignment="1">
      <alignment horizontal="right"/>
    </xf>
    <xf numFmtId="0" fontId="4" fillId="8" borderId="4" xfId="35" applyFont="1" applyFill="1" applyBorder="1" applyAlignment="1">
      <alignment horizontal="right"/>
    </xf>
    <xf numFmtId="2" fontId="4" fillId="0" borderId="4" xfId="35" applyNumberFormat="1" applyFont="1" applyFill="1" applyBorder="1" applyAlignment="1">
      <alignment horizontal="right"/>
    </xf>
    <xf numFmtId="0" fontId="9" fillId="0" borderId="14" xfId="35" applyFont="1" applyFill="1" applyBorder="1" applyAlignment="1">
      <alignment horizontal="right"/>
    </xf>
    <xf numFmtId="2" fontId="9" fillId="0" borderId="23" xfId="35" applyNumberFormat="1" applyFont="1" applyFill="1" applyBorder="1" applyAlignment="1">
      <alignment horizontal="right"/>
    </xf>
    <xf numFmtId="0" fontId="9" fillId="0" borderId="5" xfId="35" applyFont="1" applyFill="1" applyBorder="1" applyAlignment="1">
      <alignment horizontal="right"/>
    </xf>
    <xf numFmtId="0" fontId="9" fillId="8" borderId="4" xfId="35" applyFont="1" applyFill="1" applyBorder="1" applyAlignment="1">
      <alignment horizontal="right"/>
    </xf>
    <xf numFmtId="0" fontId="9" fillId="0" borderId="13" xfId="35" applyFont="1" applyFill="1" applyBorder="1" applyAlignment="1">
      <alignment horizontal="right"/>
    </xf>
    <xf numFmtId="0" fontId="9" fillId="8" borderId="13" xfId="35" applyFont="1" applyFill="1" applyBorder="1" applyAlignment="1">
      <alignment horizontal="right"/>
    </xf>
    <xf numFmtId="2" fontId="4" fillId="0" borderId="13" xfId="35" applyNumberFormat="1" applyFont="1" applyFill="1" applyBorder="1" applyAlignment="1">
      <alignment horizontal="right"/>
    </xf>
    <xf numFmtId="2" fontId="9" fillId="0" borderId="13" xfId="35" applyNumberFormat="1" applyFont="1" applyFill="1" applyBorder="1" applyAlignment="1">
      <alignment horizontal="right"/>
    </xf>
    <xf numFmtId="0" fontId="5" fillId="0" borderId="3" xfId="35" applyFont="1" applyFill="1" applyBorder="1" applyAlignment="1">
      <alignment horizontal="right"/>
    </xf>
    <xf numFmtId="2" fontId="4" fillId="8" borderId="3" xfId="35" applyNumberFormat="1" applyFont="1" applyFill="1" applyBorder="1" applyAlignment="1">
      <alignment horizontal="right"/>
    </xf>
    <xf numFmtId="2" fontId="4" fillId="8" borderId="1" xfId="35" applyNumberFormat="1" applyFont="1" applyFill="1" applyBorder="1" applyAlignment="1">
      <alignment horizontal="right"/>
    </xf>
    <xf numFmtId="2" fontId="5" fillId="0" borderId="1" xfId="35" applyNumberFormat="1" applyFont="1" applyFill="1" applyBorder="1" applyAlignment="1">
      <alignment horizontal="right"/>
    </xf>
    <xf numFmtId="2" fontId="4" fillId="2" borderId="1" xfId="35" applyNumberFormat="1" applyFont="1" applyFill="1" applyBorder="1" applyAlignment="1">
      <alignment horizontal="right"/>
    </xf>
    <xf numFmtId="2" fontId="5" fillId="2" borderId="1" xfId="35" applyNumberFormat="1" applyFont="1" applyFill="1" applyBorder="1" applyAlignment="1">
      <alignment horizontal="right"/>
    </xf>
    <xf numFmtId="2" fontId="9" fillId="0" borderId="27" xfId="35" applyNumberFormat="1" applyFont="1" applyFill="1" applyBorder="1" applyAlignment="1">
      <alignment horizontal="right"/>
    </xf>
    <xf numFmtId="2" fontId="9" fillId="8" borderId="27" xfId="35" applyNumberFormat="1" applyFont="1" applyFill="1" applyBorder="1" applyAlignment="1">
      <alignment horizontal="right"/>
    </xf>
    <xf numFmtId="2" fontId="9" fillId="0" borderId="28" xfId="35" applyNumberFormat="1" applyFont="1" applyFill="1" applyBorder="1" applyAlignment="1">
      <alignment horizontal="right"/>
    </xf>
    <xf numFmtId="166" fontId="51" fillId="0" borderId="1" xfId="52" applyNumberFormat="1" applyFont="1" applyFill="1" applyBorder="1" applyAlignment="1"/>
    <xf numFmtId="0" fontId="27" fillId="0" borderId="32" xfId="0" applyFont="1" applyBorder="1" applyAlignment="1">
      <alignment horizontal="center" vertical="center"/>
    </xf>
    <xf numFmtId="0" fontId="28" fillId="0" borderId="33" xfId="0" applyFont="1" applyBorder="1" applyAlignment="1">
      <alignment vertical="center"/>
    </xf>
    <xf numFmtId="0" fontId="28" fillId="0" borderId="34" xfId="0" applyFont="1" applyBorder="1" applyAlignment="1">
      <alignment horizontal="left" vertical="center" wrapText="1" indent="1"/>
    </xf>
    <xf numFmtId="0" fontId="28" fillId="0" borderId="35" xfId="0" applyFont="1" applyBorder="1" applyAlignment="1">
      <alignment horizontal="left" vertical="center" wrapText="1" indent="1"/>
    </xf>
    <xf numFmtId="0" fontId="28" fillId="0" borderId="32" xfId="0" applyFont="1" applyBorder="1" applyAlignment="1">
      <alignment horizontal="left" vertical="center" wrapText="1" indent="1"/>
    </xf>
    <xf numFmtId="0" fontId="28" fillId="0" borderId="0" xfId="0" applyFont="1" applyBorder="1" applyAlignment="1">
      <alignment horizontal="left" vertical="center" wrapText="1" indent="1"/>
    </xf>
    <xf numFmtId="0" fontId="27" fillId="0" borderId="33" xfId="0" applyFont="1" applyBorder="1" applyAlignment="1">
      <alignment vertical="center" wrapText="1"/>
    </xf>
    <xf numFmtId="0" fontId="28" fillId="0" borderId="36" xfId="0" applyFont="1" applyBorder="1" applyAlignment="1">
      <alignment vertical="center"/>
    </xf>
    <xf numFmtId="1" fontId="27" fillId="0" borderId="32" xfId="0" applyNumberFormat="1" applyFont="1" applyBorder="1" applyAlignment="1">
      <alignment horizontal="center" vertical="center"/>
    </xf>
    <xf numFmtId="2" fontId="27" fillId="0" borderId="32" xfId="0" applyNumberFormat="1" applyFont="1" applyBorder="1" applyAlignment="1">
      <alignment horizontal="center" vertical="center"/>
    </xf>
    <xf numFmtId="1" fontId="28" fillId="0" borderId="32" xfId="0" applyNumberFormat="1" applyFont="1" applyBorder="1" applyAlignment="1">
      <alignment horizontal="center" vertical="center"/>
    </xf>
    <xf numFmtId="0" fontId="28" fillId="2" borderId="33" xfId="0" applyFont="1" applyFill="1" applyBorder="1" applyAlignment="1">
      <alignment vertical="center"/>
    </xf>
    <xf numFmtId="1" fontId="28" fillId="2" borderId="32" xfId="0" applyNumberFormat="1" applyFont="1" applyFill="1" applyBorder="1" applyAlignment="1">
      <alignment horizontal="center" vertical="center"/>
    </xf>
    <xf numFmtId="1" fontId="27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20" xfId="0" applyFont="1" applyBorder="1" applyAlignment="1">
      <alignment horizontal="left" vertical="center" wrapText="1" indent="1"/>
    </xf>
    <xf numFmtId="0" fontId="0" fillId="0" borderId="23" xfId="0" applyBorder="1"/>
    <xf numFmtId="0" fontId="0" fillId="0" borderId="37" xfId="0" applyBorder="1"/>
    <xf numFmtId="0" fontId="27" fillId="0" borderId="22" xfId="0" applyFont="1" applyBorder="1" applyAlignment="1">
      <alignment vertical="center"/>
    </xf>
    <xf numFmtId="1" fontId="27" fillId="0" borderId="6" xfId="0" applyNumberFormat="1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8" fillId="0" borderId="38" xfId="0" applyFont="1" applyBorder="1" applyAlignment="1">
      <alignment vertical="center" wrapText="1"/>
    </xf>
    <xf numFmtId="1" fontId="27" fillId="0" borderId="38" xfId="0" applyNumberFormat="1" applyFont="1" applyBorder="1" applyAlignment="1">
      <alignment horizontal="center" vertical="center"/>
    </xf>
    <xf numFmtId="0" fontId="27" fillId="9" borderId="32" xfId="0" applyFont="1" applyFill="1" applyBorder="1" applyAlignment="1">
      <alignment horizontal="center" vertical="center" wrapText="1"/>
    </xf>
    <xf numFmtId="1" fontId="27" fillId="0" borderId="39" xfId="0" applyNumberFormat="1" applyFont="1" applyBorder="1" applyAlignment="1">
      <alignment horizontal="center" vertical="center"/>
    </xf>
    <xf numFmtId="2" fontId="27" fillId="8" borderId="32" xfId="0" applyNumberFormat="1" applyFont="1" applyFill="1" applyBorder="1" applyAlignment="1">
      <alignment horizontal="center" vertical="center"/>
    </xf>
    <xf numFmtId="1" fontId="27" fillId="8" borderId="32" xfId="0" applyNumberFormat="1" applyFont="1" applyFill="1" applyBorder="1" applyAlignment="1">
      <alignment horizontal="center" vertical="center"/>
    </xf>
    <xf numFmtId="0" fontId="28" fillId="2" borderId="22" xfId="0" applyFont="1" applyFill="1" applyBorder="1" applyAlignment="1">
      <alignment vertical="center"/>
    </xf>
    <xf numFmtId="1" fontId="28" fillId="2" borderId="1" xfId="0" applyNumberFormat="1" applyFont="1" applyFill="1" applyBorder="1" applyAlignment="1">
      <alignment horizontal="center" vertical="center"/>
    </xf>
    <xf numFmtId="1" fontId="27" fillId="9" borderId="39" xfId="0" applyNumberFormat="1" applyFont="1" applyFill="1" applyBorder="1" applyAlignment="1">
      <alignment horizontal="center" vertical="center"/>
    </xf>
    <xf numFmtId="1" fontId="27" fillId="9" borderId="32" xfId="0" applyNumberFormat="1" applyFont="1" applyFill="1" applyBorder="1" applyAlignment="1">
      <alignment horizontal="center" vertical="center"/>
    </xf>
    <xf numFmtId="0" fontId="53" fillId="0" borderId="36" xfId="0" applyFont="1" applyBorder="1" applyAlignment="1">
      <alignment vertical="center" wrapText="1"/>
    </xf>
    <xf numFmtId="0" fontId="42" fillId="0" borderId="39" xfId="0" applyFont="1" applyBorder="1" applyAlignment="1">
      <alignment horizontal="center" vertical="center" wrapText="1"/>
    </xf>
    <xf numFmtId="0" fontId="42" fillId="0" borderId="33" xfId="0" applyFont="1" applyBorder="1" applyAlignment="1">
      <alignment vertical="center" wrapText="1"/>
    </xf>
    <xf numFmtId="0" fontId="53" fillId="0" borderId="33" xfId="0" applyFont="1" applyBorder="1" applyAlignment="1">
      <alignment vertical="center" wrapText="1"/>
    </xf>
    <xf numFmtId="0" fontId="53" fillId="0" borderId="36" xfId="0" applyFont="1" applyBorder="1" applyAlignment="1">
      <alignment horizontal="center" vertical="center" wrapText="1"/>
    </xf>
    <xf numFmtId="0" fontId="53" fillId="0" borderId="39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vertical="center" wrapText="1"/>
    </xf>
    <xf numFmtId="1" fontId="27" fillId="9" borderId="32" xfId="0" applyNumberFormat="1" applyFont="1" applyFill="1" applyBorder="1" applyAlignment="1">
      <alignment horizontal="center" vertical="center" wrapText="1"/>
    </xf>
    <xf numFmtId="0" fontId="42" fillId="0" borderId="36" xfId="0" applyFont="1" applyBorder="1" applyAlignment="1">
      <alignment vertical="center" wrapText="1"/>
    </xf>
    <xf numFmtId="0" fontId="42" fillId="0" borderId="36" xfId="0" applyFont="1" applyFill="1" applyBorder="1" applyAlignment="1">
      <alignment vertical="center" wrapText="1"/>
    </xf>
    <xf numFmtId="0" fontId="4" fillId="9" borderId="36" xfId="0" applyFont="1" applyFill="1" applyBorder="1" applyAlignment="1">
      <alignment horizontal="center"/>
    </xf>
    <xf numFmtId="0" fontId="27" fillId="9" borderId="36" xfId="0" applyFont="1" applyFill="1" applyBorder="1" applyAlignment="1">
      <alignment horizontal="center" vertical="center" wrapText="1"/>
    </xf>
    <xf numFmtId="1" fontId="27" fillId="9" borderId="36" xfId="0" applyNumberFormat="1" applyFont="1" applyFill="1" applyBorder="1" applyAlignment="1">
      <alignment horizontal="center" vertical="center" wrapText="1"/>
    </xf>
    <xf numFmtId="1" fontId="28" fillId="0" borderId="32" xfId="0" applyNumberFormat="1" applyFont="1" applyBorder="1" applyAlignment="1">
      <alignment horizontal="center" vertical="center" wrapText="1"/>
    </xf>
    <xf numFmtId="0" fontId="42" fillId="0" borderId="38" xfId="0" applyFont="1" applyBorder="1" applyAlignment="1">
      <alignment vertical="center" wrapText="1"/>
    </xf>
    <xf numFmtId="1" fontId="27" fillId="0" borderId="38" xfId="0" applyNumberFormat="1" applyFont="1" applyBorder="1" applyAlignment="1">
      <alignment horizontal="center" vertical="center" wrapText="1"/>
    </xf>
    <xf numFmtId="1" fontId="0" fillId="0" borderId="1" xfId="0" applyNumberFormat="1" applyBorder="1"/>
    <xf numFmtId="0" fontId="9" fillId="0" borderId="1" xfId="0" applyFont="1" applyFill="1" applyBorder="1" applyAlignment="1">
      <alignment vertical="top"/>
    </xf>
    <xf numFmtId="2" fontId="0" fillId="8" borderId="2" xfId="0" applyNumberFormat="1" applyFill="1" applyBorder="1"/>
    <xf numFmtId="0" fontId="0" fillId="4" borderId="1" xfId="0" applyFill="1" applyBorder="1"/>
    <xf numFmtId="2" fontId="0" fillId="4" borderId="1" xfId="0" applyNumberFormat="1" applyFill="1" applyBorder="1"/>
    <xf numFmtId="0" fontId="9" fillId="0" borderId="1" xfId="0" applyFont="1" applyBorder="1" applyAlignment="1">
      <alignment horizontal="center" vertical="top"/>
    </xf>
    <xf numFmtId="0" fontId="9" fillId="0" borderId="5" xfId="0" applyFont="1" applyFill="1" applyBorder="1" applyAlignment="1">
      <alignment horizontal="center" vertical="top" wrapText="1"/>
    </xf>
    <xf numFmtId="0" fontId="9" fillId="0" borderId="11" xfId="0" applyFont="1" applyFill="1" applyBorder="1" applyAlignment="1">
      <alignment horizontal="center" vertical="top" wrapText="1"/>
    </xf>
    <xf numFmtId="2" fontId="0" fillId="8" borderId="0" xfId="0" applyNumberFormat="1" applyFill="1"/>
    <xf numFmtId="0" fontId="0" fillId="8" borderId="0" xfId="0" applyFill="1"/>
    <xf numFmtId="2" fontId="4" fillId="8" borderId="1" xfId="52" applyNumberFormat="1" applyFont="1" applyFill="1" applyBorder="1" applyAlignment="1">
      <alignment vertical="top"/>
    </xf>
    <xf numFmtId="0" fontId="53" fillId="0" borderId="36" xfId="0" applyFont="1" applyFill="1" applyBorder="1" applyAlignment="1">
      <alignment horizontal="center" vertical="center" wrapText="1"/>
    </xf>
    <xf numFmtId="2" fontId="28" fillId="0" borderId="32" xfId="0" applyNumberFormat="1" applyFont="1" applyBorder="1" applyAlignment="1">
      <alignment horizontal="center" vertical="center" wrapText="1"/>
    </xf>
    <xf numFmtId="0" fontId="27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left" vertical="center" wrapText="1" indent="1"/>
    </xf>
    <xf numFmtId="0" fontId="27" fillId="0" borderId="0" xfId="0" applyFont="1" applyFill="1" applyBorder="1" applyAlignment="1">
      <alignment vertical="top"/>
    </xf>
    <xf numFmtId="0" fontId="28" fillId="0" borderId="0" xfId="0" applyFont="1" applyFill="1" applyBorder="1" applyAlignment="1">
      <alignment horizontal="justify" vertical="center" wrapText="1"/>
    </xf>
    <xf numFmtId="1" fontId="28" fillId="0" borderId="0" xfId="0" applyNumberFormat="1" applyFont="1" applyFill="1" applyBorder="1" applyAlignment="1">
      <alignment horizontal="center" vertical="center"/>
    </xf>
    <xf numFmtId="1" fontId="27" fillId="8" borderId="36" xfId="0" applyNumberFormat="1" applyFont="1" applyFill="1" applyBorder="1" applyAlignment="1">
      <alignment horizontal="center" vertical="center" wrapText="1"/>
    </xf>
    <xf numFmtId="2" fontId="28" fillId="0" borderId="32" xfId="0" applyNumberFormat="1" applyFont="1" applyBorder="1" applyAlignment="1">
      <alignment horizontal="center" vertical="center"/>
    </xf>
    <xf numFmtId="167" fontId="9" fillId="0" borderId="1" xfId="420" applyFont="1" applyFill="1" applyBorder="1" applyAlignment="1">
      <alignment horizontal="centerContinuous" vertical="center"/>
    </xf>
    <xf numFmtId="0" fontId="9" fillId="0" borderId="0" xfId="35" applyFont="1" applyFill="1" applyBorder="1" applyAlignment="1">
      <alignment horizontal="center" vertical="center"/>
    </xf>
    <xf numFmtId="2" fontId="11" fillId="0" borderId="1" xfId="35" applyNumberFormat="1" applyFont="1" applyFill="1" applyBorder="1" applyAlignment="1">
      <alignment horizontal="center" vertical="top" wrapText="1"/>
    </xf>
    <xf numFmtId="1" fontId="9" fillId="0" borderId="1" xfId="35" applyNumberFormat="1" applyFont="1" applyFill="1" applyBorder="1" applyAlignment="1">
      <alignment horizontal="centerContinuous" vertical="center"/>
    </xf>
    <xf numFmtId="1" fontId="9" fillId="0" borderId="1" xfId="35" applyNumberFormat="1" applyFont="1" applyFill="1" applyBorder="1" applyAlignment="1">
      <alignment horizontal="center" vertical="center"/>
    </xf>
    <xf numFmtId="1" fontId="4" fillId="0" borderId="0" xfId="35" applyNumberFormat="1" applyFont="1" applyFill="1" applyAlignment="1">
      <alignment vertical="center"/>
    </xf>
    <xf numFmtId="1" fontId="4" fillId="0" borderId="1" xfId="35" applyNumberFormat="1" applyFont="1" applyFill="1" applyBorder="1" applyAlignment="1">
      <alignment horizontal="center" vertical="top"/>
    </xf>
    <xf numFmtId="0" fontId="4" fillId="0" borderId="1" xfId="52" applyFont="1" applyFill="1" applyBorder="1" applyAlignment="1">
      <alignment horizontal="left"/>
    </xf>
    <xf numFmtId="2" fontId="4" fillId="0" borderId="1" xfId="549" applyNumberFormat="1" applyFont="1" applyFill="1" applyBorder="1" applyAlignment="1">
      <alignment vertical="center" wrapText="1"/>
    </xf>
    <xf numFmtId="0" fontId="4" fillId="3" borderId="0" xfId="35" applyFont="1" applyFill="1"/>
    <xf numFmtId="0" fontId="9" fillId="0" borderId="1" xfId="35" applyFont="1" applyFill="1" applyBorder="1" applyAlignment="1">
      <alignment vertical="center"/>
    </xf>
    <xf numFmtId="0" fontId="44" fillId="0" borderId="1" xfId="35" applyFont="1" applyFill="1" applyBorder="1" applyAlignment="1">
      <alignment vertical="center" wrapText="1"/>
    </xf>
    <xf numFmtId="0" fontId="54" fillId="0" borderId="1" xfId="35" applyFont="1" applyFill="1" applyBorder="1" applyAlignment="1">
      <alignment vertical="top" wrapText="1"/>
    </xf>
    <xf numFmtId="1" fontId="9" fillId="0" borderId="1" xfId="35" applyNumberFormat="1" applyFont="1" applyFill="1" applyBorder="1" applyAlignment="1">
      <alignment horizontal="center" vertical="top"/>
    </xf>
    <xf numFmtId="0" fontId="4" fillId="0" borderId="1" xfId="35" applyFont="1" applyFill="1" applyBorder="1" applyAlignment="1">
      <alignment vertical="top" wrapText="1"/>
    </xf>
    <xf numFmtId="0" fontId="54" fillId="3" borderId="1" xfId="35" applyFont="1" applyFill="1" applyBorder="1" applyAlignment="1">
      <alignment vertical="top" wrapText="1"/>
    </xf>
    <xf numFmtId="2" fontId="4" fillId="0" borderId="1" xfId="35" quotePrefix="1" applyNumberFormat="1" applyFont="1" applyFill="1" applyBorder="1" applyAlignment="1">
      <alignment horizontal="center" vertical="center"/>
    </xf>
    <xf numFmtId="0" fontId="46" fillId="3" borderId="0" xfId="35" applyFont="1" applyFill="1" applyAlignment="1">
      <alignment vertical="center"/>
    </xf>
    <xf numFmtId="0" fontId="4" fillId="3" borderId="1" xfId="35" applyFont="1" applyFill="1" applyBorder="1" applyAlignment="1">
      <alignment vertical="top" wrapText="1"/>
    </xf>
    <xf numFmtId="2" fontId="4" fillId="3" borderId="1" xfId="35" quotePrefix="1" applyNumberFormat="1" applyFont="1" applyFill="1" applyBorder="1" applyAlignment="1">
      <alignment horizontal="center" vertical="center"/>
    </xf>
    <xf numFmtId="0" fontId="4" fillId="3" borderId="1" xfId="35" applyFont="1" applyFill="1" applyBorder="1" applyAlignment="1">
      <alignment horizontal="left" vertical="top"/>
    </xf>
    <xf numFmtId="0" fontId="4" fillId="3" borderId="1" xfId="35" applyFont="1" applyFill="1" applyBorder="1" applyAlignment="1">
      <alignment horizontal="left" vertical="top" wrapText="1"/>
    </xf>
    <xf numFmtId="2" fontId="12" fillId="2" borderId="1" xfId="35" applyNumberFormat="1" applyFont="1" applyFill="1" applyBorder="1" applyAlignment="1">
      <alignment vertical="center"/>
    </xf>
    <xf numFmtId="2" fontId="18" fillId="2" borderId="1" xfId="35" applyNumberFormat="1" applyFont="1" applyFill="1" applyBorder="1" applyAlignment="1">
      <alignment vertical="center"/>
    </xf>
    <xf numFmtId="1" fontId="9" fillId="2" borderId="1" xfId="35" applyNumberFormat="1" applyFont="1" applyFill="1" applyBorder="1" applyAlignment="1">
      <alignment horizontal="center" vertical="center"/>
    </xf>
    <xf numFmtId="1" fontId="9" fillId="2" borderId="1" xfId="35" applyNumberFormat="1" applyFont="1" applyFill="1" applyBorder="1" applyAlignment="1">
      <alignment horizontal="center" vertical="top"/>
    </xf>
    <xf numFmtId="0" fontId="55" fillId="0" borderId="0" xfId="35" applyFont="1" applyFill="1" applyAlignment="1">
      <alignment vertical="center"/>
    </xf>
    <xf numFmtId="0" fontId="6" fillId="10" borderId="3" xfId="35" applyFont="1" applyFill="1" applyBorder="1" applyAlignment="1">
      <alignment horizontal="center" vertical="center" wrapText="1"/>
    </xf>
    <xf numFmtId="0" fontId="56" fillId="2" borderId="0" xfId="35" applyFont="1" applyFill="1" applyAlignment="1">
      <alignment vertical="center"/>
    </xf>
    <xf numFmtId="0" fontId="10" fillId="0" borderId="0" xfId="0" applyFont="1"/>
    <xf numFmtId="0" fontId="58" fillId="0" borderId="1" xfId="0" applyFont="1" applyBorder="1" applyAlignment="1">
      <alignment vertical="center" wrapText="1"/>
    </xf>
    <xf numFmtId="0" fontId="58" fillId="0" borderId="1" xfId="0" applyFont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59" fillId="3" borderId="1" xfId="0" applyFont="1" applyFill="1" applyBorder="1" applyAlignment="1">
      <alignment horizontal="center" vertical="center" wrapText="1"/>
    </xf>
    <xf numFmtId="0" fontId="59" fillId="3" borderId="1" xfId="0" applyFont="1" applyFill="1" applyBorder="1" applyAlignment="1">
      <alignment horizontal="right" vertical="center" wrapText="1"/>
    </xf>
    <xf numFmtId="2" fontId="59" fillId="3" borderId="1" xfId="0" applyNumberFormat="1" applyFont="1" applyFill="1" applyBorder="1" applyAlignment="1">
      <alignment horizontal="center" vertical="center" wrapText="1"/>
    </xf>
    <xf numFmtId="0" fontId="58" fillId="0" borderId="1" xfId="0" applyFont="1" applyBorder="1" applyAlignment="1">
      <alignment horizontal="right"/>
    </xf>
    <xf numFmtId="0" fontId="58" fillId="0" borderId="1" xfId="0" applyFont="1" applyBorder="1" applyAlignment="1">
      <alignment horizontal="center"/>
    </xf>
    <xf numFmtId="2" fontId="58" fillId="0" borderId="1" xfId="0" applyNumberFormat="1" applyFont="1" applyBorder="1" applyAlignment="1">
      <alignment horizontal="center"/>
    </xf>
    <xf numFmtId="17" fontId="57" fillId="0" borderId="1" xfId="0" applyNumberFormat="1" applyFont="1" applyBorder="1" applyAlignment="1">
      <alignment horizontal="center" vertical="center" wrapText="1"/>
    </xf>
    <xf numFmtId="17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57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57" fillId="3" borderId="1" xfId="0" applyFont="1" applyFill="1" applyBorder="1" applyAlignment="1">
      <alignment horizontal="center" vertical="center"/>
    </xf>
    <xf numFmtId="0" fontId="58" fillId="0" borderId="0" xfId="0" applyFont="1" applyBorder="1" applyAlignment="1">
      <alignment horizontal="center"/>
    </xf>
    <xf numFmtId="0" fontId="60" fillId="0" borderId="0" xfId="0" applyFont="1" applyAlignment="1">
      <alignment horizontal="center" vertical="center"/>
    </xf>
    <xf numFmtId="0" fontId="10" fillId="0" borderId="1" xfId="0" applyFont="1" applyBorder="1"/>
    <xf numFmtId="0" fontId="52" fillId="0" borderId="1" xfId="0" applyFont="1" applyBorder="1" applyAlignment="1">
      <alignment horizontal="left" vertical="center" wrapText="1"/>
    </xf>
    <xf numFmtId="0" fontId="10" fillId="0" borderId="0" xfId="0" applyFont="1" applyBorder="1"/>
    <xf numFmtId="0" fontId="58" fillId="0" borderId="0" xfId="0" applyFont="1" applyBorder="1" applyAlignment="1">
      <alignment horizontal="right"/>
    </xf>
    <xf numFmtId="2" fontId="58" fillId="0" borderId="0" xfId="0" applyNumberFormat="1" applyFont="1" applyBorder="1" applyAlignment="1">
      <alignment horizontal="center"/>
    </xf>
    <xf numFmtId="0" fontId="10" fillId="0" borderId="1" xfId="0" applyFont="1" applyBorder="1" applyAlignment="1">
      <alignment horizontal="right" vertical="center"/>
    </xf>
    <xf numFmtId="0" fontId="9" fillId="0" borderId="4" xfId="35" applyFont="1" applyFill="1" applyBorder="1" applyAlignment="1">
      <alignment horizontal="center" vertical="center" wrapText="1"/>
    </xf>
    <xf numFmtId="0" fontId="60" fillId="0" borderId="0" xfId="0" applyFont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4" fillId="3" borderId="0" xfId="35" applyFont="1" applyFill="1" applyAlignment="1">
      <alignment horizontal="center"/>
    </xf>
    <xf numFmtId="0" fontId="4" fillId="3" borderId="0" xfId="35" applyFont="1" applyFill="1" applyAlignment="1">
      <alignment horizontal="center" vertical="center"/>
    </xf>
    <xf numFmtId="2" fontId="9" fillId="0" borderId="1" xfId="35" applyNumberFormat="1" applyFont="1" applyFill="1" applyBorder="1" applyAlignment="1">
      <alignment horizontal="center" vertical="center"/>
    </xf>
    <xf numFmtId="0" fontId="4" fillId="10" borderId="1" xfId="35" applyFont="1" applyFill="1" applyBorder="1" applyAlignment="1">
      <alignment horizontal="center" vertical="center"/>
    </xf>
    <xf numFmtId="2" fontId="4" fillId="10" borderId="1" xfId="35" applyNumberFormat="1" applyFont="1" applyFill="1" applyBorder="1" applyAlignment="1">
      <alignment horizontal="center" vertical="center"/>
    </xf>
    <xf numFmtId="2" fontId="4" fillId="3" borderId="1" xfId="35" applyNumberFormat="1" applyFont="1" applyFill="1" applyBorder="1" applyAlignment="1">
      <alignment horizontal="center" vertical="center"/>
    </xf>
    <xf numFmtId="0" fontId="4" fillId="10" borderId="1" xfId="35" applyFont="1" applyFill="1" applyBorder="1" applyAlignment="1">
      <alignment horizontal="center" vertical="top"/>
    </xf>
    <xf numFmtId="2" fontId="9" fillId="2" borderId="1" xfId="35" applyNumberFormat="1" applyFont="1" applyFill="1" applyBorder="1" applyAlignment="1">
      <alignment horizontal="center" vertical="center"/>
    </xf>
    <xf numFmtId="0" fontId="46" fillId="10" borderId="1" xfId="35" applyFont="1" applyFill="1" applyBorder="1" applyAlignment="1">
      <alignment horizontal="center" vertical="center"/>
    </xf>
    <xf numFmtId="166" fontId="9" fillId="0" borderId="1" xfId="52" applyNumberFormat="1" applyFont="1" applyFill="1" applyBorder="1" applyAlignment="1">
      <alignment horizontal="center" vertical="top"/>
    </xf>
    <xf numFmtId="166" fontId="4" fillId="0" borderId="1" xfId="52" applyNumberFormat="1" applyFont="1" applyFill="1" applyBorder="1" applyAlignment="1">
      <alignment horizontal="center" vertical="top"/>
    </xf>
    <xf numFmtId="167" fontId="4" fillId="10" borderId="1" xfId="420" applyFont="1" applyFill="1" applyBorder="1" applyAlignment="1">
      <alignment horizontal="center" vertical="center"/>
    </xf>
    <xf numFmtId="0" fontId="9" fillId="10" borderId="1" xfId="35" applyFont="1" applyFill="1" applyBorder="1" applyAlignment="1">
      <alignment horizontal="center" vertical="center"/>
    </xf>
    <xf numFmtId="0" fontId="4" fillId="0" borderId="0" xfId="35" applyFont="1" applyFill="1" applyAlignment="1">
      <alignment horizontal="center" vertical="center"/>
    </xf>
    <xf numFmtId="0" fontId="55" fillId="0" borderId="0" xfId="35" applyFont="1" applyFill="1" applyAlignment="1">
      <alignment horizontal="center" vertical="center"/>
    </xf>
    <xf numFmtId="0" fontId="4" fillId="2" borderId="0" xfId="35" applyFont="1" applyFill="1" applyAlignment="1">
      <alignment horizontal="center"/>
    </xf>
    <xf numFmtId="0" fontId="4" fillId="2" borderId="0" xfId="35" applyFont="1" applyFill="1" applyAlignment="1">
      <alignment horizontal="center" vertical="center"/>
    </xf>
    <xf numFmtId="0" fontId="6" fillId="2" borderId="3" xfId="35" applyFont="1" applyFill="1" applyBorder="1" applyAlignment="1">
      <alignment horizontal="center" vertical="center" wrapText="1"/>
    </xf>
    <xf numFmtId="0" fontId="4" fillId="2" borderId="1" xfId="35" applyFont="1" applyFill="1" applyBorder="1" applyAlignment="1">
      <alignment horizontal="center" vertical="center"/>
    </xf>
    <xf numFmtId="2" fontId="4" fillId="2" borderId="1" xfId="35" applyNumberFormat="1" applyFont="1" applyFill="1" applyBorder="1" applyAlignment="1">
      <alignment horizontal="center" vertical="center"/>
    </xf>
    <xf numFmtId="0" fontId="4" fillId="2" borderId="1" xfId="35" applyFont="1" applyFill="1" applyBorder="1" applyAlignment="1">
      <alignment horizontal="center" vertical="top"/>
    </xf>
    <xf numFmtId="0" fontId="46" fillId="2" borderId="1" xfId="35" applyFont="1" applyFill="1" applyBorder="1" applyAlignment="1">
      <alignment horizontal="center" vertical="center"/>
    </xf>
    <xf numFmtId="0" fontId="9" fillId="2" borderId="1" xfId="35" applyFont="1" applyFill="1" applyBorder="1" applyAlignment="1">
      <alignment horizontal="center" vertical="center"/>
    </xf>
    <xf numFmtId="0" fontId="4" fillId="10" borderId="0" xfId="35" applyFont="1" applyFill="1" applyAlignment="1">
      <alignment horizontal="center"/>
    </xf>
    <xf numFmtId="0" fontId="4" fillId="10" borderId="0" xfId="35" applyFont="1" applyFill="1" applyAlignment="1">
      <alignment horizontal="center" vertical="center"/>
    </xf>
    <xf numFmtId="0" fontId="4" fillId="11" borderId="0" xfId="35" applyFont="1" applyFill="1" applyAlignment="1">
      <alignment horizontal="center"/>
    </xf>
    <xf numFmtId="0" fontId="4" fillId="11" borderId="0" xfId="35" applyFont="1" applyFill="1" applyAlignment="1">
      <alignment horizontal="center" vertical="center"/>
    </xf>
    <xf numFmtId="0" fontId="6" fillId="11" borderId="3" xfId="35" applyFont="1" applyFill="1" applyBorder="1" applyAlignment="1">
      <alignment horizontal="center" vertical="center" wrapText="1"/>
    </xf>
    <xf numFmtId="0" fontId="4" fillId="11" borderId="1" xfId="35" applyFont="1" applyFill="1" applyBorder="1" applyAlignment="1">
      <alignment horizontal="center" vertical="center"/>
    </xf>
    <xf numFmtId="2" fontId="4" fillId="11" borderId="1" xfId="35" applyNumberFormat="1" applyFont="1" applyFill="1" applyBorder="1" applyAlignment="1">
      <alignment horizontal="center" vertical="center"/>
    </xf>
    <xf numFmtId="0" fontId="4" fillId="11" borderId="1" xfId="35" applyFont="1" applyFill="1" applyBorder="1" applyAlignment="1">
      <alignment horizontal="center" vertical="top"/>
    </xf>
    <xf numFmtId="0" fontId="46" fillId="11" borderId="1" xfId="35" applyFont="1" applyFill="1" applyBorder="1" applyAlignment="1">
      <alignment horizontal="center" vertical="center"/>
    </xf>
    <xf numFmtId="0" fontId="9" fillId="11" borderId="1" xfId="35" applyFont="1" applyFill="1" applyBorder="1" applyAlignment="1">
      <alignment horizontal="center" vertical="center"/>
    </xf>
    <xf numFmtId="0" fontId="6" fillId="2" borderId="1" xfId="35" applyFont="1" applyFill="1" applyBorder="1" applyAlignment="1">
      <alignment horizontal="center" vertical="center" wrapText="1"/>
    </xf>
    <xf numFmtId="0" fontId="6" fillId="11" borderId="1" xfId="35" applyFont="1" applyFill="1" applyBorder="1" applyAlignment="1">
      <alignment horizontal="center" vertical="center" wrapText="1"/>
    </xf>
    <xf numFmtId="0" fontId="4" fillId="2" borderId="0" xfId="35" applyFont="1" applyFill="1"/>
    <xf numFmtId="0" fontId="4" fillId="2" borderId="0" xfId="35" applyFont="1" applyFill="1" applyAlignment="1">
      <alignment vertical="center"/>
    </xf>
    <xf numFmtId="0" fontId="4" fillId="2" borderId="1" xfId="35" applyFont="1" applyFill="1" applyBorder="1" applyAlignment="1">
      <alignment vertical="center"/>
    </xf>
    <xf numFmtId="0" fontId="9" fillId="2" borderId="1" xfId="35" applyFont="1" applyFill="1" applyBorder="1" applyAlignment="1">
      <alignment vertical="center"/>
    </xf>
    <xf numFmtId="0" fontId="46" fillId="2" borderId="1" xfId="35" applyFont="1" applyFill="1" applyBorder="1" applyAlignment="1">
      <alignment vertical="center"/>
    </xf>
    <xf numFmtId="0" fontId="4" fillId="4" borderId="1" xfId="35" applyFont="1" applyFill="1" applyBorder="1" applyAlignment="1">
      <alignment horizontal="center" vertical="center"/>
    </xf>
    <xf numFmtId="2" fontId="4" fillId="4" borderId="1" xfId="35" applyNumberFormat="1" applyFont="1" applyFill="1" applyBorder="1" applyAlignment="1">
      <alignment horizontal="center" vertical="center"/>
    </xf>
    <xf numFmtId="0" fontId="4" fillId="4" borderId="1" xfId="35" applyFont="1" applyFill="1" applyBorder="1" applyAlignment="1">
      <alignment horizontal="center" vertical="top"/>
    </xf>
    <xf numFmtId="0" fontId="4" fillId="11" borderId="0" xfId="35" applyFont="1" applyFill="1"/>
    <xf numFmtId="0" fontId="4" fillId="11" borderId="0" xfId="35" applyFont="1" applyFill="1" applyAlignment="1">
      <alignment vertical="center"/>
    </xf>
    <xf numFmtId="0" fontId="4" fillId="11" borderId="1" xfId="35" applyFont="1" applyFill="1" applyBorder="1" applyAlignment="1">
      <alignment vertical="center"/>
    </xf>
    <xf numFmtId="0" fontId="9" fillId="11" borderId="1" xfId="35" applyFont="1" applyFill="1" applyBorder="1" applyAlignment="1">
      <alignment vertical="center"/>
    </xf>
    <xf numFmtId="0" fontId="46" fillId="11" borderId="1" xfId="35" applyFont="1" applyFill="1" applyBorder="1" applyAlignment="1">
      <alignment vertical="center"/>
    </xf>
    <xf numFmtId="1" fontId="9" fillId="4" borderId="1" xfId="35" applyNumberFormat="1" applyFont="1" applyFill="1" applyBorder="1" applyAlignment="1">
      <alignment horizontal="center" vertical="center"/>
    </xf>
    <xf numFmtId="2" fontId="12" fillId="4" borderId="1" xfId="35" applyNumberFormat="1" applyFont="1" applyFill="1" applyBorder="1" applyAlignment="1">
      <alignment vertical="center"/>
    </xf>
    <xf numFmtId="2" fontId="9" fillId="4" borderId="1" xfId="35" applyNumberFormat="1" applyFont="1" applyFill="1" applyBorder="1" applyAlignment="1">
      <alignment horizontal="center" vertical="center"/>
    </xf>
    <xf numFmtId="0" fontId="4" fillId="4" borderId="1" xfId="35" applyFont="1" applyFill="1" applyBorder="1" applyAlignment="1">
      <alignment vertical="center"/>
    </xf>
    <xf numFmtId="0" fontId="4" fillId="4" borderId="10" xfId="35" applyFont="1" applyFill="1" applyBorder="1" applyAlignment="1">
      <alignment vertical="center"/>
    </xf>
    <xf numFmtId="2" fontId="9" fillId="4" borderId="1" xfId="35" applyNumberFormat="1" applyFont="1" applyFill="1" applyBorder="1" applyAlignment="1">
      <alignment vertical="center"/>
    </xf>
    <xf numFmtId="0" fontId="4" fillId="4" borderId="0" xfId="35" applyFont="1" applyFill="1" applyAlignment="1">
      <alignment vertical="center"/>
    </xf>
    <xf numFmtId="1" fontId="4" fillId="4" borderId="1" xfId="35" applyNumberFormat="1" applyFont="1" applyFill="1" applyBorder="1" applyAlignment="1">
      <alignment horizontal="center" vertical="center"/>
    </xf>
    <xf numFmtId="1" fontId="4" fillId="4" borderId="1" xfId="35" applyNumberFormat="1" applyFont="1" applyFill="1" applyBorder="1" applyAlignment="1">
      <alignment horizontal="center" vertical="top"/>
    </xf>
    <xf numFmtId="2" fontId="18" fillId="4" borderId="1" xfId="35" applyNumberFormat="1" applyFont="1" applyFill="1" applyBorder="1" applyAlignment="1">
      <alignment vertical="center"/>
    </xf>
    <xf numFmtId="166" fontId="9" fillId="4" borderId="1" xfId="52" applyNumberFormat="1" applyFont="1" applyFill="1" applyBorder="1" applyAlignment="1">
      <alignment horizontal="center" vertical="top"/>
    </xf>
    <xf numFmtId="0" fontId="4" fillId="4" borderId="1" xfId="35" applyFont="1" applyFill="1" applyBorder="1" applyAlignment="1">
      <alignment vertical="top"/>
    </xf>
    <xf numFmtId="0" fontId="4" fillId="4" borderId="0" xfId="35" applyFont="1" applyFill="1" applyAlignment="1">
      <alignment vertical="top"/>
    </xf>
    <xf numFmtId="0" fontId="4" fillId="4" borderId="9" xfId="35" applyFont="1" applyFill="1" applyBorder="1" applyAlignment="1">
      <alignment vertical="center"/>
    </xf>
    <xf numFmtId="0" fontId="4" fillId="4" borderId="0" xfId="35" applyFont="1" applyFill="1" applyBorder="1" applyAlignment="1">
      <alignment vertical="center"/>
    </xf>
    <xf numFmtId="10" fontId="4" fillId="2" borderId="0" xfId="35" applyNumberFormat="1" applyFont="1" applyFill="1" applyAlignment="1">
      <alignment horizontal="center"/>
    </xf>
    <xf numFmtId="10" fontId="4" fillId="11" borderId="0" xfId="35" applyNumberFormat="1" applyFont="1" applyFill="1" applyAlignment="1">
      <alignment horizontal="center"/>
    </xf>
    <xf numFmtId="10" fontId="4" fillId="2" borderId="0" xfId="35" applyNumberFormat="1" applyFont="1" applyFill="1" applyAlignment="1">
      <alignment horizontal="center" vertical="center"/>
    </xf>
    <xf numFmtId="10" fontId="4" fillId="11" borderId="0" xfId="35" applyNumberFormat="1" applyFont="1" applyFill="1" applyAlignment="1">
      <alignment horizontal="center" vertical="center"/>
    </xf>
    <xf numFmtId="10" fontId="6" fillId="2" borderId="3" xfId="35" applyNumberFormat="1" applyFont="1" applyFill="1" applyBorder="1" applyAlignment="1">
      <alignment horizontal="center" vertical="center" wrapText="1"/>
    </xf>
    <xf numFmtId="10" fontId="6" fillId="11" borderId="3" xfId="35" applyNumberFormat="1" applyFont="1" applyFill="1" applyBorder="1" applyAlignment="1">
      <alignment horizontal="center" vertical="center" wrapText="1"/>
    </xf>
    <xf numFmtId="10" fontId="4" fillId="2" borderId="1" xfId="35" applyNumberFormat="1" applyFont="1" applyFill="1" applyBorder="1" applyAlignment="1">
      <alignment horizontal="center" vertical="center"/>
    </xf>
    <xf numFmtId="10" fontId="4" fillId="11" borderId="1" xfId="35" applyNumberFormat="1" applyFont="1" applyFill="1" applyBorder="1" applyAlignment="1">
      <alignment horizontal="center" vertical="center"/>
    </xf>
    <xf numFmtId="10" fontId="4" fillId="4" borderId="1" xfId="35" applyNumberFormat="1" applyFont="1" applyFill="1" applyBorder="1" applyAlignment="1">
      <alignment horizontal="center" vertical="center"/>
    </xf>
    <xf numFmtId="10" fontId="4" fillId="2" borderId="1" xfId="35" applyNumberFormat="1" applyFont="1" applyFill="1" applyBorder="1" applyAlignment="1">
      <alignment horizontal="center" vertical="top"/>
    </xf>
    <xf numFmtId="10" fontId="4" fillId="11" borderId="1" xfId="35" applyNumberFormat="1" applyFont="1" applyFill="1" applyBorder="1" applyAlignment="1">
      <alignment horizontal="center" vertical="top"/>
    </xf>
    <xf numFmtId="10" fontId="46" fillId="2" borderId="1" xfId="35" applyNumberFormat="1" applyFont="1" applyFill="1" applyBorder="1" applyAlignment="1">
      <alignment horizontal="center" vertical="center"/>
    </xf>
    <xf numFmtId="10" fontId="46" fillId="11" borderId="1" xfId="35" applyNumberFormat="1" applyFont="1" applyFill="1" applyBorder="1" applyAlignment="1">
      <alignment horizontal="center" vertical="center"/>
    </xf>
    <xf numFmtId="10" fontId="4" fillId="4" borderId="1" xfId="35" applyNumberFormat="1" applyFont="1" applyFill="1" applyBorder="1" applyAlignment="1">
      <alignment horizontal="center" vertical="top"/>
    </xf>
    <xf numFmtId="10" fontId="9" fillId="2" borderId="1" xfId="35" applyNumberFormat="1" applyFont="1" applyFill="1" applyBorder="1" applyAlignment="1">
      <alignment horizontal="center" vertical="center"/>
    </xf>
    <xf numFmtId="10" fontId="9" fillId="11" borderId="1" xfId="35" applyNumberFormat="1" applyFont="1" applyFill="1" applyBorder="1" applyAlignment="1">
      <alignment horizontal="center" vertical="center"/>
    </xf>
    <xf numFmtId="10" fontId="9" fillId="0" borderId="0" xfId="35" applyNumberFormat="1" applyFont="1" applyFill="1" applyBorder="1" applyAlignment="1">
      <alignment horizontal="center" vertical="center"/>
    </xf>
    <xf numFmtId="10" fontId="9" fillId="0" borderId="1" xfId="35" applyNumberFormat="1" applyFont="1" applyFill="1" applyBorder="1" applyAlignment="1">
      <alignment horizontal="center" vertical="center"/>
    </xf>
    <xf numFmtId="10" fontId="4" fillId="0" borderId="1" xfId="35" applyNumberFormat="1" applyFont="1" applyFill="1" applyBorder="1" applyAlignment="1">
      <alignment horizontal="center" vertical="center"/>
    </xf>
    <xf numFmtId="10" fontId="9" fillId="4" borderId="1" xfId="35" applyNumberFormat="1" applyFont="1" applyFill="1" applyBorder="1" applyAlignment="1">
      <alignment horizontal="center" vertical="center"/>
    </xf>
    <xf numFmtId="10" fontId="4" fillId="0" borderId="1" xfId="35" quotePrefix="1" applyNumberFormat="1" applyFont="1" applyFill="1" applyBorder="1" applyAlignment="1">
      <alignment horizontal="center" vertical="center"/>
    </xf>
    <xf numFmtId="10" fontId="4" fillId="3" borderId="1" xfId="35" quotePrefix="1" applyNumberFormat="1" applyFont="1" applyFill="1" applyBorder="1" applyAlignment="1">
      <alignment horizontal="center" vertical="center"/>
    </xf>
    <xf numFmtId="10" fontId="9" fillId="4" borderId="1" xfId="52" applyNumberFormat="1" applyFont="1" applyFill="1" applyBorder="1" applyAlignment="1">
      <alignment horizontal="center" vertical="top"/>
    </xf>
    <xf numFmtId="10" fontId="4" fillId="0" borderId="0" xfId="35" applyNumberFormat="1" applyFont="1" applyFill="1" applyAlignment="1">
      <alignment horizontal="center" vertical="center"/>
    </xf>
    <xf numFmtId="10" fontId="9" fillId="0" borderId="1" xfId="52" applyNumberFormat="1" applyFont="1" applyFill="1" applyBorder="1" applyAlignment="1">
      <alignment horizontal="center" vertical="top"/>
    </xf>
    <xf numFmtId="10" fontId="4" fillId="0" borderId="1" xfId="52" applyNumberFormat="1" applyFont="1" applyFill="1" applyBorder="1" applyAlignment="1">
      <alignment horizontal="center" vertical="top"/>
    </xf>
    <xf numFmtId="4" fontId="52" fillId="0" borderId="1" xfId="0" applyNumberFormat="1" applyFont="1" applyBorder="1" applyAlignment="1">
      <alignment horizontal="center" vertical="center" wrapText="1"/>
    </xf>
    <xf numFmtId="2" fontId="52" fillId="3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/>
    <xf numFmtId="0" fontId="59" fillId="2" borderId="1" xfId="0" applyFont="1" applyFill="1" applyBorder="1" applyAlignment="1">
      <alignment horizontal="center" vertical="center" wrapText="1"/>
    </xf>
    <xf numFmtId="2" fontId="52" fillId="2" borderId="1" xfId="0" applyNumberFormat="1" applyFont="1" applyFill="1" applyBorder="1" applyAlignment="1">
      <alignment horizontal="center" vertical="center" wrapText="1"/>
    </xf>
    <xf numFmtId="2" fontId="59" fillId="2" borderId="1" xfId="0" applyNumberFormat="1" applyFont="1" applyFill="1" applyBorder="1" applyAlignment="1">
      <alignment horizontal="center" vertical="center" wrapText="1"/>
    </xf>
    <xf numFmtId="0" fontId="58" fillId="2" borderId="1" xfId="0" applyFont="1" applyFill="1" applyBorder="1" applyAlignment="1">
      <alignment horizontal="left" vertical="center" wrapText="1"/>
    </xf>
    <xf numFmtId="0" fontId="57" fillId="2" borderId="1" xfId="0" applyFont="1" applyFill="1" applyBorder="1" applyAlignment="1">
      <alignment horizontal="center" vertical="center"/>
    </xf>
    <xf numFmtId="0" fontId="58" fillId="2" borderId="1" xfId="0" applyFont="1" applyFill="1" applyBorder="1" applyAlignment="1">
      <alignment vertical="center" wrapText="1"/>
    </xf>
    <xf numFmtId="0" fontId="58" fillId="2" borderId="1" xfId="0" applyFont="1" applyFill="1" applyBorder="1" applyAlignment="1">
      <alignment horizontal="center" vertical="center" wrapText="1"/>
    </xf>
    <xf numFmtId="2" fontId="58" fillId="2" borderId="1" xfId="0" applyNumberFormat="1" applyFont="1" applyFill="1" applyBorder="1" applyAlignment="1">
      <alignment horizontal="center" vertical="center" wrapText="1"/>
    </xf>
    <xf numFmtId="0" fontId="61" fillId="2" borderId="1" xfId="0" applyFont="1" applyFill="1" applyBorder="1" applyAlignment="1">
      <alignment horizontal="left" vertical="center" wrapText="1"/>
    </xf>
    <xf numFmtId="2" fontId="52" fillId="0" borderId="1" xfId="0" applyNumberFormat="1" applyFont="1" applyBorder="1" applyAlignment="1">
      <alignment horizontal="center" vertical="center" wrapText="1"/>
    </xf>
    <xf numFmtId="0" fontId="4" fillId="2" borderId="0" xfId="35" applyFont="1" applyFill="1" applyBorder="1" applyAlignment="1">
      <alignment vertical="center"/>
    </xf>
    <xf numFmtId="0" fontId="4" fillId="11" borderId="0" xfId="35" applyFont="1" applyFill="1" applyBorder="1" applyAlignment="1">
      <alignment vertical="center"/>
    </xf>
    <xf numFmtId="10" fontId="4" fillId="3" borderId="0" xfId="35" applyNumberFormat="1" applyFont="1" applyFill="1"/>
    <xf numFmtId="10" fontId="4" fillId="3" borderId="0" xfId="35" applyNumberFormat="1" applyFont="1" applyFill="1" applyAlignment="1">
      <alignment vertical="center"/>
    </xf>
    <xf numFmtId="10" fontId="4" fillId="0" borderId="0" xfId="35" applyNumberFormat="1" applyFont="1" applyFill="1" applyAlignment="1">
      <alignment vertical="center"/>
    </xf>
    <xf numFmtId="10" fontId="4" fillId="4" borderId="0" xfId="35" applyNumberFormat="1" applyFont="1" applyFill="1" applyBorder="1" applyAlignment="1">
      <alignment vertical="center"/>
    </xf>
    <xf numFmtId="10" fontId="4" fillId="0" borderId="0" xfId="35" applyNumberFormat="1" applyFont="1" applyFill="1" applyBorder="1" applyAlignment="1">
      <alignment vertical="center"/>
    </xf>
    <xf numFmtId="10" fontId="9" fillId="0" borderId="0" xfId="35" applyNumberFormat="1" applyFont="1" applyFill="1" applyAlignment="1">
      <alignment vertical="center"/>
    </xf>
    <xf numFmtId="10" fontId="4" fillId="4" borderId="0" xfId="35" applyNumberFormat="1" applyFont="1" applyFill="1" applyAlignment="1">
      <alignment vertical="center"/>
    </xf>
    <xf numFmtId="10" fontId="4" fillId="4" borderId="9" xfId="35" applyNumberFormat="1" applyFont="1" applyFill="1" applyBorder="1" applyAlignment="1">
      <alignment vertical="center"/>
    </xf>
    <xf numFmtId="10" fontId="46" fillId="3" borderId="0" xfId="35" applyNumberFormat="1" applyFont="1" applyFill="1" applyAlignment="1">
      <alignment vertical="center"/>
    </xf>
    <xf numFmtId="10" fontId="4" fillId="4" borderId="0" xfId="35" applyNumberFormat="1" applyFont="1" applyFill="1" applyAlignment="1">
      <alignment vertical="top"/>
    </xf>
    <xf numFmtId="10" fontId="4" fillId="0" borderId="0" xfId="35" applyNumberFormat="1" applyFont="1" applyFill="1" applyAlignment="1">
      <alignment vertical="top"/>
    </xf>
    <xf numFmtId="10" fontId="4" fillId="0" borderId="0" xfId="420" applyNumberFormat="1" applyFont="1" applyFill="1" applyAlignment="1">
      <alignment vertical="center"/>
    </xf>
    <xf numFmtId="10" fontId="4" fillId="4" borderId="10" xfId="35" applyNumberFormat="1" applyFont="1" applyFill="1" applyBorder="1" applyAlignment="1">
      <alignment vertical="center"/>
    </xf>
    <xf numFmtId="0" fontId="60" fillId="0" borderId="0" xfId="0" applyFont="1" applyAlignment="1">
      <alignment horizontal="center" vertical="center"/>
    </xf>
    <xf numFmtId="0" fontId="9" fillId="4" borderId="1" xfId="35" applyFont="1" applyFill="1" applyBorder="1" applyAlignment="1">
      <alignment horizontal="center" vertical="center"/>
    </xf>
    <xf numFmtId="0" fontId="9" fillId="4" borderId="1" xfId="35" applyFont="1" applyFill="1" applyBorder="1" applyAlignment="1">
      <alignment vertical="center"/>
    </xf>
    <xf numFmtId="0" fontId="9" fillId="4" borderId="0" xfId="35" applyFont="1" applyFill="1" applyAlignment="1">
      <alignment vertical="center"/>
    </xf>
    <xf numFmtId="10" fontId="9" fillId="4" borderId="0" xfId="35" applyNumberFormat="1" applyFont="1" applyFill="1" applyAlignment="1">
      <alignment vertical="center"/>
    </xf>
    <xf numFmtId="0" fontId="61" fillId="2" borderId="1" xfId="0" applyFont="1" applyFill="1" applyBorder="1" applyAlignment="1">
      <alignment horizontal="center" vertical="center" wrapText="1"/>
    </xf>
    <xf numFmtId="2" fontId="61" fillId="2" borderId="1" xfId="0" applyNumberFormat="1" applyFont="1" applyFill="1" applyBorder="1" applyAlignment="1">
      <alignment horizontal="center" vertical="center" wrapText="1"/>
    </xf>
    <xf numFmtId="0" fontId="55" fillId="0" borderId="7" xfId="0" applyFont="1" applyFill="1" applyBorder="1" applyAlignment="1">
      <alignment horizontal="center" vertical="top" wrapText="1"/>
    </xf>
    <xf numFmtId="0" fontId="4" fillId="0" borderId="1" xfId="35" applyFont="1" applyFill="1" applyBorder="1" applyAlignment="1">
      <alignment horizontal="center" vertical="center"/>
    </xf>
    <xf numFmtId="0" fontId="52" fillId="0" borderId="1" xfId="0" applyNumberFormat="1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/>
    </xf>
    <xf numFmtId="0" fontId="54" fillId="11" borderId="1" xfId="35" applyFont="1" applyFill="1" applyBorder="1" applyAlignment="1">
      <alignment horizontal="center" vertical="center"/>
    </xf>
    <xf numFmtId="0" fontId="4" fillId="0" borderId="1" xfId="35" applyFont="1" applyFill="1" applyBorder="1" applyAlignment="1">
      <alignment horizontal="center" vertical="center"/>
    </xf>
    <xf numFmtId="0" fontId="9" fillId="0" borderId="4" xfId="35" applyFont="1" applyFill="1" applyBorder="1" applyAlignment="1">
      <alignment horizontal="center" vertical="center" wrapText="1"/>
    </xf>
    <xf numFmtId="0" fontId="57" fillId="0" borderId="0" xfId="0" applyFont="1" applyBorder="1" applyAlignment="1">
      <alignment vertical="center" wrapText="1"/>
    </xf>
    <xf numFmtId="0" fontId="0" fillId="0" borderId="0" xfId="0" applyBorder="1" applyAlignment="1"/>
    <xf numFmtId="2" fontId="0" fillId="0" borderId="0" xfId="0" applyNumberFormat="1" applyBorder="1" applyAlignment="1"/>
    <xf numFmtId="0" fontId="54" fillId="11" borderId="1" xfId="35" applyFont="1" applyFill="1" applyBorder="1" applyAlignment="1">
      <alignment horizontal="center" vertical="top"/>
    </xf>
    <xf numFmtId="2" fontId="10" fillId="0" borderId="0" xfId="0" applyNumberFormat="1" applyFont="1"/>
    <xf numFmtId="0" fontId="0" fillId="0" borderId="0" xfId="0" applyAlignment="1">
      <alignment horizontal="center" vertical="center"/>
    </xf>
    <xf numFmtId="0" fontId="11" fillId="0" borderId="0" xfId="52" applyFont="1" applyFill="1" applyAlignment="1">
      <alignment horizontal="center" vertical="top"/>
    </xf>
    <xf numFmtId="0" fontId="11" fillId="0" borderId="0" xfId="52" applyFont="1" applyFill="1" applyBorder="1" applyAlignment="1">
      <alignment horizontal="center" vertical="top"/>
    </xf>
    <xf numFmtId="0" fontId="11" fillId="0" borderId="0" xfId="35" applyFont="1" applyFill="1" applyBorder="1" applyAlignment="1">
      <alignment horizontal="center" vertical="center"/>
    </xf>
    <xf numFmtId="10" fontId="11" fillId="0" borderId="0" xfId="35" applyNumberFormat="1" applyFont="1" applyFill="1" applyBorder="1" applyAlignment="1">
      <alignment horizontal="center" vertical="center"/>
    </xf>
    <xf numFmtId="0" fontId="9" fillId="0" borderId="0" xfId="35" applyFont="1" applyFill="1" applyBorder="1" applyAlignment="1">
      <alignment horizontal="left" vertical="center"/>
    </xf>
    <xf numFmtId="10" fontId="9" fillId="0" borderId="0" xfId="35" applyNumberFormat="1" applyFont="1" applyFill="1" applyBorder="1" applyAlignment="1">
      <alignment horizontal="left" vertical="center"/>
    </xf>
    <xf numFmtId="0" fontId="9" fillId="2" borderId="4" xfId="35" applyFont="1" applyFill="1" applyBorder="1" applyAlignment="1">
      <alignment horizontal="center" vertical="center" wrapText="1"/>
    </xf>
    <xf numFmtId="0" fontId="9" fillId="2" borderId="3" xfId="35" applyFont="1" applyFill="1" applyBorder="1" applyAlignment="1">
      <alignment horizontal="center" vertical="center" wrapText="1"/>
    </xf>
    <xf numFmtId="10" fontId="9" fillId="2" borderId="4" xfId="35" applyNumberFormat="1" applyFont="1" applyFill="1" applyBorder="1" applyAlignment="1">
      <alignment horizontal="center" vertical="center" wrapText="1"/>
    </xf>
    <xf numFmtId="10" fontId="9" fillId="2" borderId="3" xfId="35" applyNumberFormat="1" applyFont="1" applyFill="1" applyBorder="1" applyAlignment="1">
      <alignment horizontal="center" vertical="center" wrapText="1"/>
    </xf>
    <xf numFmtId="0" fontId="9" fillId="0" borderId="4" xfId="35" applyFont="1" applyFill="1" applyBorder="1" applyAlignment="1">
      <alignment horizontal="center" vertical="center" wrapText="1"/>
    </xf>
    <xf numFmtId="0" fontId="9" fillId="0" borderId="3" xfId="35" applyFont="1" applyFill="1" applyBorder="1" applyAlignment="1">
      <alignment horizontal="center" vertical="center" wrapText="1"/>
    </xf>
    <xf numFmtId="0" fontId="9" fillId="10" borderId="7" xfId="35" applyFont="1" applyFill="1" applyBorder="1" applyAlignment="1">
      <alignment horizontal="center" vertical="center"/>
    </xf>
    <xf numFmtId="0" fontId="9" fillId="10" borderId="40" xfId="35" applyFont="1" applyFill="1" applyBorder="1" applyAlignment="1">
      <alignment horizontal="center" vertical="center"/>
    </xf>
    <xf numFmtId="0" fontId="9" fillId="2" borderId="40" xfId="35" applyFont="1" applyFill="1" applyBorder="1" applyAlignment="1">
      <alignment horizontal="center" vertical="center"/>
    </xf>
    <xf numFmtId="0" fontId="9" fillId="11" borderId="40" xfId="35" applyFont="1" applyFill="1" applyBorder="1" applyAlignment="1">
      <alignment horizontal="center" vertical="center"/>
    </xf>
    <xf numFmtId="10" fontId="9" fillId="2" borderId="40" xfId="35" applyNumberFormat="1" applyFont="1" applyFill="1" applyBorder="1" applyAlignment="1">
      <alignment horizontal="center" vertical="center"/>
    </xf>
    <xf numFmtId="10" fontId="9" fillId="11" borderId="2" xfId="35" applyNumberFormat="1" applyFont="1" applyFill="1" applyBorder="1" applyAlignment="1">
      <alignment horizontal="center" vertical="center"/>
    </xf>
    <xf numFmtId="10" fontId="9" fillId="11" borderId="40" xfId="35" applyNumberFormat="1" applyFont="1" applyFill="1" applyBorder="1" applyAlignment="1">
      <alignment horizontal="center" vertical="center"/>
    </xf>
    <xf numFmtId="0" fontId="4" fillId="0" borderId="1" xfId="35" applyFont="1" applyFill="1" applyBorder="1" applyAlignment="1">
      <alignment horizontal="center" vertical="center"/>
    </xf>
    <xf numFmtId="0" fontId="11" fillId="0" borderId="1" xfId="52" applyFont="1" applyFill="1" applyBorder="1" applyAlignment="1">
      <alignment horizontal="center" vertical="top"/>
    </xf>
    <xf numFmtId="0" fontId="9" fillId="0" borderId="1" xfId="0" applyFont="1" applyFill="1" applyBorder="1" applyAlignment="1">
      <alignment horizontal="center" vertical="top"/>
    </xf>
    <xf numFmtId="0" fontId="9" fillId="0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7" fillId="0" borderId="0" xfId="0" applyFont="1" applyBorder="1" applyAlignment="1">
      <alignment horizontal="center" vertical="center" wrapText="1"/>
    </xf>
    <xf numFmtId="0" fontId="9" fillId="0" borderId="41" xfId="35" applyFont="1" applyFill="1" applyBorder="1" applyAlignment="1">
      <alignment horizontal="center" vertical="center"/>
    </xf>
    <xf numFmtId="0" fontId="9" fillId="0" borderId="44" xfId="35" applyFont="1" applyFill="1" applyBorder="1" applyAlignment="1">
      <alignment horizontal="center" vertical="center"/>
    </xf>
    <xf numFmtId="0" fontId="4" fillId="0" borderId="42" xfId="35" applyBorder="1" applyAlignment="1">
      <alignment horizontal="center"/>
    </xf>
    <xf numFmtId="0" fontId="4" fillId="0" borderId="43" xfId="35" applyBorder="1" applyAlignment="1">
      <alignment horizontal="center"/>
    </xf>
    <xf numFmtId="0" fontId="9" fillId="0" borderId="41" xfId="35" applyFont="1" applyFill="1" applyBorder="1" applyAlignment="1">
      <alignment horizontal="right"/>
    </xf>
    <xf numFmtId="0" fontId="9" fillId="0" borderId="44" xfId="35" applyFont="1" applyFill="1" applyBorder="1" applyAlignment="1">
      <alignment horizontal="right"/>
    </xf>
    <xf numFmtId="0" fontId="9" fillId="0" borderId="23" xfId="35" applyFont="1" applyFill="1" applyBorder="1" applyAlignment="1">
      <alignment horizontal="center" vertical="center"/>
    </xf>
    <xf numFmtId="0" fontId="9" fillId="0" borderId="37" xfId="35" applyFont="1" applyFill="1" applyBorder="1" applyAlignment="1">
      <alignment horizontal="center" vertical="center"/>
    </xf>
    <xf numFmtId="0" fontId="11" fillId="0" borderId="0" xfId="35" applyFont="1" applyFill="1" applyAlignment="1">
      <alignment horizontal="center"/>
    </xf>
    <xf numFmtId="0" fontId="9" fillId="0" borderId="0" xfId="35" applyFont="1" applyFill="1" applyAlignment="1">
      <alignment horizontal="center"/>
    </xf>
    <xf numFmtId="0" fontId="9" fillId="0" borderId="4" xfId="35" applyFont="1" applyFill="1" applyBorder="1" applyAlignment="1">
      <alignment horizontal="right" wrapText="1"/>
    </xf>
    <xf numFmtId="0" fontId="9" fillId="0" borderId="5" xfId="35" applyFont="1" applyFill="1" applyBorder="1" applyAlignment="1">
      <alignment horizontal="right" wrapText="1"/>
    </xf>
    <xf numFmtId="0" fontId="9" fillId="0" borderId="3" xfId="35" applyFont="1" applyFill="1" applyBorder="1" applyAlignment="1">
      <alignment horizontal="right" wrapText="1"/>
    </xf>
    <xf numFmtId="173" fontId="34" fillId="0" borderId="4" xfId="1" applyNumberFormat="1" applyFont="1" applyFill="1" applyBorder="1" applyAlignment="1">
      <alignment horizontal="right"/>
    </xf>
    <xf numFmtId="173" fontId="34" fillId="0" borderId="5" xfId="1" applyNumberFormat="1" applyFont="1" applyFill="1" applyBorder="1" applyAlignment="1">
      <alignment horizontal="right"/>
    </xf>
    <xf numFmtId="173" fontId="34" fillId="0" borderId="3" xfId="1" applyNumberFormat="1" applyFont="1" applyFill="1" applyBorder="1" applyAlignment="1">
      <alignment horizontal="right"/>
    </xf>
    <xf numFmtId="0" fontId="60" fillId="0" borderId="0" xfId="0" applyFont="1" applyAlignment="1">
      <alignment horizontal="center" vertical="center"/>
    </xf>
    <xf numFmtId="0" fontId="57" fillId="0" borderId="0" xfId="0" applyFont="1" applyBorder="1" applyAlignment="1">
      <alignment horizontal="center" vertical="center" wrapText="1"/>
    </xf>
    <xf numFmtId="0" fontId="57" fillId="0" borderId="1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/>
    </xf>
    <xf numFmtId="0" fontId="57" fillId="0" borderId="1" xfId="0" applyFont="1" applyBorder="1" applyAlignment="1">
      <alignment horizontal="center" vertical="center"/>
    </xf>
    <xf numFmtId="0" fontId="57" fillId="0" borderId="4" xfId="0" applyFont="1" applyBorder="1" applyAlignment="1">
      <alignment horizontal="center" vertical="center"/>
    </xf>
    <xf numFmtId="0" fontId="57" fillId="0" borderId="5" xfId="0" applyFont="1" applyBorder="1" applyAlignment="1">
      <alignment horizontal="center" vertical="center"/>
    </xf>
    <xf numFmtId="0" fontId="57" fillId="0" borderId="3" xfId="0" applyFont="1" applyBorder="1" applyAlignment="1">
      <alignment horizontal="center" vertical="center"/>
    </xf>
    <xf numFmtId="0" fontId="57" fillId="0" borderId="4" xfId="35" applyFont="1" applyBorder="1" applyAlignment="1">
      <alignment horizontal="center" vertical="center" wrapText="1"/>
    </xf>
    <xf numFmtId="0" fontId="57" fillId="0" borderId="3" xfId="35" applyFont="1" applyBorder="1" applyAlignment="1">
      <alignment horizontal="center" vertical="center" wrapText="1"/>
    </xf>
    <xf numFmtId="0" fontId="57" fillId="0" borderId="7" xfId="0" applyFont="1" applyBorder="1" applyAlignment="1">
      <alignment horizontal="center" vertical="center"/>
    </xf>
    <xf numFmtId="0" fontId="57" fillId="0" borderId="40" xfId="0" applyFont="1" applyBorder="1" applyAlignment="1">
      <alignment horizontal="center" vertical="center"/>
    </xf>
    <xf numFmtId="0" fontId="57" fillId="0" borderId="2" xfId="0" applyFont="1" applyBorder="1" applyAlignment="1">
      <alignment horizontal="center" vertical="center"/>
    </xf>
  </cellXfs>
  <cellStyles count="1072">
    <cellStyle name="Comma 2" xfId="1"/>
    <cellStyle name="Comma 2 2" xfId="2"/>
    <cellStyle name="Comma 2 3" xfId="3"/>
    <cellStyle name="Comma 3" xfId="4"/>
    <cellStyle name="Comma 3 2" xfId="5"/>
    <cellStyle name="Comma 4" xfId="6"/>
    <cellStyle name="Comma 4 2" xfId="561"/>
    <cellStyle name="Comma 5" xfId="7"/>
    <cellStyle name="Comma 5 2" xfId="562"/>
    <cellStyle name="Comma 6" xfId="8"/>
    <cellStyle name="Comma 6 2" xfId="563"/>
    <cellStyle name="Comma 7" xfId="9"/>
    <cellStyle name="Comma 7 2" xfId="564"/>
    <cellStyle name="Comma 8" xfId="10"/>
    <cellStyle name="Comma 8 2" xfId="565"/>
    <cellStyle name="Currency 2" xfId="11"/>
    <cellStyle name="Currency 2 2" xfId="12"/>
    <cellStyle name="Currency 2 2 2" xfId="13"/>
    <cellStyle name="Currency 2 2 2 2" xfId="14"/>
    <cellStyle name="Currency 2 2 2 2 2" xfId="569"/>
    <cellStyle name="Currency 2 2 2 3" xfId="568"/>
    <cellStyle name="Currency 2 2 3" xfId="15"/>
    <cellStyle name="Currency 2 2 3 2" xfId="16"/>
    <cellStyle name="Currency 2 2 3 2 2" xfId="571"/>
    <cellStyle name="Currency 2 2 3 3" xfId="570"/>
    <cellStyle name="Currency 2 2 4" xfId="17"/>
    <cellStyle name="Currency 2 2 4 2" xfId="572"/>
    <cellStyle name="Currency 2 2 5" xfId="567"/>
    <cellStyle name="Currency 2 3" xfId="18"/>
    <cellStyle name="Currency 2 3 2" xfId="19"/>
    <cellStyle name="Currency 2 3 2 2" xfId="574"/>
    <cellStyle name="Currency 2 3 3" xfId="573"/>
    <cellStyle name="Currency 2 4" xfId="20"/>
    <cellStyle name="Currency 2 4 2" xfId="21"/>
    <cellStyle name="Currency 2 4 2 2" xfId="576"/>
    <cellStyle name="Currency 2 4 3" xfId="575"/>
    <cellStyle name="Currency 2 5" xfId="22"/>
    <cellStyle name="Currency 2 5 2" xfId="577"/>
    <cellStyle name="Currency 2 6" xfId="566"/>
    <cellStyle name="Currency 3" xfId="23"/>
    <cellStyle name="Currency 3 2" xfId="24"/>
    <cellStyle name="Currency 4" xfId="25"/>
    <cellStyle name="Currency 5" xfId="26"/>
    <cellStyle name="Currency 5 2" xfId="578"/>
    <cellStyle name="Currency 6" xfId="27"/>
    <cellStyle name="Currency 6 2" xfId="579"/>
    <cellStyle name="Currency 7" xfId="28"/>
    <cellStyle name="Currency 7 2" xfId="580"/>
    <cellStyle name="Excel Built-in Normal" xfId="29"/>
    <cellStyle name="Excel Built-in Normal 2" xfId="30"/>
    <cellStyle name="Hyperlink" xfId="31" builtinId="8"/>
    <cellStyle name="Hyperlink 2" xfId="32"/>
    <cellStyle name="Normal" xfId="0" builtinId="0"/>
    <cellStyle name="Normal 10" xfId="33"/>
    <cellStyle name="Normal 10 2" xfId="34"/>
    <cellStyle name="Normal 10 3" xfId="35"/>
    <cellStyle name="Normal 10 4" xfId="36"/>
    <cellStyle name="Normal 10 4 2" xfId="560"/>
    <cellStyle name="Normal 10 4 2 2" xfId="1071"/>
    <cellStyle name="Normal 10 4 3" xfId="581"/>
    <cellStyle name="Normal 11" xfId="37"/>
    <cellStyle name="Normal 11 2" xfId="38"/>
    <cellStyle name="Normal 11 2 2" xfId="39"/>
    <cellStyle name="Normal 11 3" xfId="40"/>
    <cellStyle name="Normal 12" xfId="41"/>
    <cellStyle name="Normal 12 2" xfId="42"/>
    <cellStyle name="Normal 12 2 2" xfId="43"/>
    <cellStyle name="Normal 12 3" xfId="44"/>
    <cellStyle name="Normal 13" xfId="45"/>
    <cellStyle name="Normal 13 2" xfId="582"/>
    <cellStyle name="Normal 14" xfId="46"/>
    <cellStyle name="Normal 14 2" xfId="583"/>
    <cellStyle name="Normal 15" xfId="47"/>
    <cellStyle name="Normal 15 2" xfId="584"/>
    <cellStyle name="Normal 16" xfId="48"/>
    <cellStyle name="Normal 16 2" xfId="585"/>
    <cellStyle name="Normal 17" xfId="49"/>
    <cellStyle name="Normal 17 2" xfId="586"/>
    <cellStyle name="Normal 18" xfId="50"/>
    <cellStyle name="Normal 18 2" xfId="587"/>
    <cellStyle name="Normal 19" xfId="51"/>
    <cellStyle name="Normal 19 2" xfId="588"/>
    <cellStyle name="Normal 2" xfId="52"/>
    <cellStyle name="Normal 2 2" xfId="53"/>
    <cellStyle name="Normal 2 3" xfId="54"/>
    <cellStyle name="Normal 2 3 2" xfId="589"/>
    <cellStyle name="Normal 2 4" xfId="55"/>
    <cellStyle name="Normal 2 4 2" xfId="590"/>
    <cellStyle name="Normal 20" xfId="56"/>
    <cellStyle name="Normal 20 2" xfId="591"/>
    <cellStyle name="Normal 21" xfId="57"/>
    <cellStyle name="Normal 22" xfId="58"/>
    <cellStyle name="Normal 23" xfId="59"/>
    <cellStyle name="Normal 24" xfId="60"/>
    <cellStyle name="Normal 25" xfId="61"/>
    <cellStyle name="Normal 26" xfId="62"/>
    <cellStyle name="Normal 28" xfId="63"/>
    <cellStyle name="Normal 29" xfId="64"/>
    <cellStyle name="Normal 3" xfId="65"/>
    <cellStyle name="Normal 3 2" xfId="66"/>
    <cellStyle name="Normal 3 2 2" xfId="592"/>
    <cellStyle name="Normal 3 3" xfId="67"/>
    <cellStyle name="Normal 3 3 2" xfId="593"/>
    <cellStyle name="Normal 4" xfId="68"/>
    <cellStyle name="Normal 4 10" xfId="69"/>
    <cellStyle name="Normal 4 10 2" xfId="595"/>
    <cellStyle name="Normal 4 11" xfId="70"/>
    <cellStyle name="Normal 4 11 2" xfId="596"/>
    <cellStyle name="Normal 4 12" xfId="71"/>
    <cellStyle name="Normal 4 12 2" xfId="597"/>
    <cellStyle name="Normal 4 13" xfId="72"/>
    <cellStyle name="Normal 4 13 2" xfId="598"/>
    <cellStyle name="Normal 4 14" xfId="73"/>
    <cellStyle name="Normal 4 14 2" xfId="599"/>
    <cellStyle name="Normal 4 15" xfId="74"/>
    <cellStyle name="Normal 4 15 2" xfId="600"/>
    <cellStyle name="Normal 4 16" xfId="75"/>
    <cellStyle name="Normal 4 16 2" xfId="601"/>
    <cellStyle name="Normal 4 17" xfId="76"/>
    <cellStyle name="Normal 4 17 2" xfId="602"/>
    <cellStyle name="Normal 4 18" xfId="594"/>
    <cellStyle name="Normal 4 2" xfId="77"/>
    <cellStyle name="Normal 4 2 10" xfId="78"/>
    <cellStyle name="Normal 4 2 10 2" xfId="604"/>
    <cellStyle name="Normal 4 2 11" xfId="79"/>
    <cellStyle name="Normal 4 2 11 2" xfId="605"/>
    <cellStyle name="Normal 4 2 12" xfId="80"/>
    <cellStyle name="Normal 4 2 12 2" xfId="606"/>
    <cellStyle name="Normal 4 2 13" xfId="81"/>
    <cellStyle name="Normal 4 2 13 2" xfId="607"/>
    <cellStyle name="Normal 4 2 14" xfId="82"/>
    <cellStyle name="Normal 4 2 14 2" xfId="608"/>
    <cellStyle name="Normal 4 2 15" xfId="83"/>
    <cellStyle name="Normal 4 2 15 2" xfId="609"/>
    <cellStyle name="Normal 4 2 16" xfId="84"/>
    <cellStyle name="Normal 4 2 16 2" xfId="610"/>
    <cellStyle name="Normal 4 2 17" xfId="85"/>
    <cellStyle name="Normal 4 2 17 2" xfId="611"/>
    <cellStyle name="Normal 4 2 18" xfId="86"/>
    <cellStyle name="Normal 4 2 18 2" xfId="612"/>
    <cellStyle name="Normal 4 2 19" xfId="87"/>
    <cellStyle name="Normal 4 2 19 2" xfId="613"/>
    <cellStyle name="Normal 4 2 2" xfId="88"/>
    <cellStyle name="Normal 4 2 2 10" xfId="89"/>
    <cellStyle name="Normal 4 2 2 10 2" xfId="615"/>
    <cellStyle name="Normal 4 2 2 11" xfId="90"/>
    <cellStyle name="Normal 4 2 2 11 2" xfId="616"/>
    <cellStyle name="Normal 4 2 2 12" xfId="91"/>
    <cellStyle name="Normal 4 2 2 12 2" xfId="617"/>
    <cellStyle name="Normal 4 2 2 13" xfId="92"/>
    <cellStyle name="Normal 4 2 2 13 2" xfId="618"/>
    <cellStyle name="Normal 4 2 2 14" xfId="93"/>
    <cellStyle name="Normal 4 2 2 14 2" xfId="619"/>
    <cellStyle name="Normal 4 2 2 15" xfId="94"/>
    <cellStyle name="Normal 4 2 2 15 2" xfId="620"/>
    <cellStyle name="Normal 4 2 2 16" xfId="95"/>
    <cellStyle name="Normal 4 2 2 16 2" xfId="621"/>
    <cellStyle name="Normal 4 2 2 17" xfId="614"/>
    <cellStyle name="Normal 4 2 2 2" xfId="96"/>
    <cellStyle name="Normal 4 2 2 2 2" xfId="97"/>
    <cellStyle name="Normal 4 2 2 2 2 2" xfId="98"/>
    <cellStyle name="Normal 4 2 2 2 2 2 2" xfId="99"/>
    <cellStyle name="Normal 4 2 2 2 2 2 2 2" xfId="625"/>
    <cellStyle name="Normal 4 2 2 2 2 2 3" xfId="624"/>
    <cellStyle name="Normal 4 2 2 2 2 3" xfId="100"/>
    <cellStyle name="Normal 4 2 2 2 2 3 2" xfId="101"/>
    <cellStyle name="Normal 4 2 2 2 2 3 2 2" xfId="627"/>
    <cellStyle name="Normal 4 2 2 2 2 3 3" xfId="626"/>
    <cellStyle name="Normal 4 2 2 2 2 4" xfId="102"/>
    <cellStyle name="Normal 4 2 2 2 2 4 2" xfId="628"/>
    <cellStyle name="Normal 4 2 2 2 2 5" xfId="623"/>
    <cellStyle name="Normal 4 2 2 2 3" xfId="103"/>
    <cellStyle name="Normal 4 2 2 2 3 2" xfId="104"/>
    <cellStyle name="Normal 4 2 2 2 3 2 2" xfId="630"/>
    <cellStyle name="Normal 4 2 2 2 3 3" xfId="629"/>
    <cellStyle name="Normal 4 2 2 2 4" xfId="105"/>
    <cellStyle name="Normal 4 2 2 2 4 2" xfId="106"/>
    <cellStyle name="Normal 4 2 2 2 4 2 2" xfId="632"/>
    <cellStyle name="Normal 4 2 2 2 4 3" xfId="631"/>
    <cellStyle name="Normal 4 2 2 2 5" xfId="107"/>
    <cellStyle name="Normal 4 2 2 2 5 2" xfId="633"/>
    <cellStyle name="Normal 4 2 2 2 6" xfId="108"/>
    <cellStyle name="Normal 4 2 2 2 6 2" xfId="634"/>
    <cellStyle name="Normal 4 2 2 2 7" xfId="622"/>
    <cellStyle name="Normal 4 2 2 3" xfId="109"/>
    <cellStyle name="Normal 4 2 2 3 2" xfId="110"/>
    <cellStyle name="Normal 4 2 2 3 2 2" xfId="111"/>
    <cellStyle name="Normal 4 2 2 3 2 2 2" xfId="112"/>
    <cellStyle name="Normal 4 2 2 3 2 2 2 2" xfId="638"/>
    <cellStyle name="Normal 4 2 2 3 2 2 3" xfId="637"/>
    <cellStyle name="Normal 4 2 2 3 2 3" xfId="113"/>
    <cellStyle name="Normal 4 2 2 3 2 3 2" xfId="114"/>
    <cellStyle name="Normal 4 2 2 3 2 3 2 2" xfId="640"/>
    <cellStyle name="Normal 4 2 2 3 2 3 3" xfId="639"/>
    <cellStyle name="Normal 4 2 2 3 2 4" xfId="115"/>
    <cellStyle name="Normal 4 2 2 3 2 4 2" xfId="641"/>
    <cellStyle name="Normal 4 2 2 3 2 5" xfId="636"/>
    <cellStyle name="Normal 4 2 2 3 3" xfId="116"/>
    <cellStyle name="Normal 4 2 2 3 3 2" xfId="117"/>
    <cellStyle name="Normal 4 2 2 3 3 2 2" xfId="643"/>
    <cellStyle name="Normal 4 2 2 3 3 3" xfId="642"/>
    <cellStyle name="Normal 4 2 2 3 4" xfId="118"/>
    <cellStyle name="Normal 4 2 2 3 4 2" xfId="119"/>
    <cellStyle name="Normal 4 2 2 3 4 2 2" xfId="645"/>
    <cellStyle name="Normal 4 2 2 3 4 3" xfId="644"/>
    <cellStyle name="Normal 4 2 2 3 5" xfId="120"/>
    <cellStyle name="Normal 4 2 2 3 5 2" xfId="646"/>
    <cellStyle name="Normal 4 2 2 3 6" xfId="635"/>
    <cellStyle name="Normal 4 2 2 4" xfId="121"/>
    <cellStyle name="Normal 4 2 2 4 2" xfId="122"/>
    <cellStyle name="Normal 4 2 2 4 2 2" xfId="123"/>
    <cellStyle name="Normal 4 2 2 4 2 2 2" xfId="649"/>
    <cellStyle name="Normal 4 2 2 4 2 3" xfId="648"/>
    <cellStyle name="Normal 4 2 2 4 3" xfId="124"/>
    <cellStyle name="Normal 4 2 2 4 3 2" xfId="125"/>
    <cellStyle name="Normal 4 2 2 4 3 2 2" xfId="651"/>
    <cellStyle name="Normal 4 2 2 4 3 3" xfId="650"/>
    <cellStyle name="Normal 4 2 2 4 4" xfId="126"/>
    <cellStyle name="Normal 4 2 2 4 4 2" xfId="652"/>
    <cellStyle name="Normal 4 2 2 4 5" xfId="647"/>
    <cellStyle name="Normal 4 2 2 5" xfId="127"/>
    <cellStyle name="Normal 4 2 2 5 2" xfId="128"/>
    <cellStyle name="Normal 4 2 2 5 2 2" xfId="654"/>
    <cellStyle name="Normal 4 2 2 5 3" xfId="653"/>
    <cellStyle name="Normal 4 2 2 6" xfId="129"/>
    <cellStyle name="Normal 4 2 2 6 2" xfId="130"/>
    <cellStyle name="Normal 4 2 2 6 2 2" xfId="656"/>
    <cellStyle name="Normal 4 2 2 6 3" xfId="655"/>
    <cellStyle name="Normal 4 2 2 7" xfId="131"/>
    <cellStyle name="Normal 4 2 2 7 2" xfId="657"/>
    <cellStyle name="Normal 4 2 2 8" xfId="132"/>
    <cellStyle name="Normal 4 2 2 8 2" xfId="658"/>
    <cellStyle name="Normal 4 2 2 9" xfId="133"/>
    <cellStyle name="Normal 4 2 2 9 2" xfId="659"/>
    <cellStyle name="Normal 4 2 20" xfId="603"/>
    <cellStyle name="Normal 4 2 3" xfId="134"/>
    <cellStyle name="Normal 4 2 3 10" xfId="135"/>
    <cellStyle name="Normal 4 2 3 10 2" xfId="661"/>
    <cellStyle name="Normal 4 2 3 11" xfId="136"/>
    <cellStyle name="Normal 4 2 3 11 2" xfId="662"/>
    <cellStyle name="Normal 4 2 3 12" xfId="137"/>
    <cellStyle name="Normal 4 2 3 12 2" xfId="663"/>
    <cellStyle name="Normal 4 2 3 13" xfId="138"/>
    <cellStyle name="Normal 4 2 3 13 2" xfId="664"/>
    <cellStyle name="Normal 4 2 3 14" xfId="139"/>
    <cellStyle name="Normal 4 2 3 14 2" xfId="665"/>
    <cellStyle name="Normal 4 2 3 15" xfId="140"/>
    <cellStyle name="Normal 4 2 3 15 2" xfId="666"/>
    <cellStyle name="Normal 4 2 3 16" xfId="141"/>
    <cellStyle name="Normal 4 2 3 16 2" xfId="667"/>
    <cellStyle name="Normal 4 2 3 17" xfId="660"/>
    <cellStyle name="Normal 4 2 3 2" xfId="142"/>
    <cellStyle name="Normal 4 2 3 2 2" xfId="143"/>
    <cellStyle name="Normal 4 2 3 2 2 2" xfId="144"/>
    <cellStyle name="Normal 4 2 3 2 2 2 2" xfId="145"/>
    <cellStyle name="Normal 4 2 3 2 2 2 2 2" xfId="671"/>
    <cellStyle name="Normal 4 2 3 2 2 2 3" xfId="670"/>
    <cellStyle name="Normal 4 2 3 2 2 3" xfId="146"/>
    <cellStyle name="Normal 4 2 3 2 2 3 2" xfId="147"/>
    <cellStyle name="Normal 4 2 3 2 2 3 2 2" xfId="673"/>
    <cellStyle name="Normal 4 2 3 2 2 3 3" xfId="672"/>
    <cellStyle name="Normal 4 2 3 2 2 4" xfId="148"/>
    <cellStyle name="Normal 4 2 3 2 2 4 2" xfId="674"/>
    <cellStyle name="Normal 4 2 3 2 2 5" xfId="669"/>
    <cellStyle name="Normal 4 2 3 2 3" xfId="149"/>
    <cellStyle name="Normal 4 2 3 2 3 2" xfId="150"/>
    <cellStyle name="Normal 4 2 3 2 3 2 2" xfId="676"/>
    <cellStyle name="Normal 4 2 3 2 3 3" xfId="675"/>
    <cellStyle name="Normal 4 2 3 2 4" xfId="151"/>
    <cellStyle name="Normal 4 2 3 2 4 2" xfId="152"/>
    <cellStyle name="Normal 4 2 3 2 4 2 2" xfId="678"/>
    <cellStyle name="Normal 4 2 3 2 4 3" xfId="677"/>
    <cellStyle name="Normal 4 2 3 2 5" xfId="153"/>
    <cellStyle name="Normal 4 2 3 2 5 2" xfId="679"/>
    <cellStyle name="Normal 4 2 3 2 6" xfId="154"/>
    <cellStyle name="Normal 4 2 3 2 6 2" xfId="680"/>
    <cellStyle name="Normal 4 2 3 2 7" xfId="668"/>
    <cellStyle name="Normal 4 2 3 3" xfId="155"/>
    <cellStyle name="Normal 4 2 3 3 2" xfId="156"/>
    <cellStyle name="Normal 4 2 3 3 2 2" xfId="157"/>
    <cellStyle name="Normal 4 2 3 3 2 2 2" xfId="158"/>
    <cellStyle name="Normal 4 2 3 3 2 2 2 2" xfId="684"/>
    <cellStyle name="Normal 4 2 3 3 2 2 3" xfId="683"/>
    <cellStyle name="Normal 4 2 3 3 2 3" xfId="159"/>
    <cellStyle name="Normal 4 2 3 3 2 3 2" xfId="160"/>
    <cellStyle name="Normal 4 2 3 3 2 3 2 2" xfId="686"/>
    <cellStyle name="Normal 4 2 3 3 2 3 3" xfId="685"/>
    <cellStyle name="Normal 4 2 3 3 2 4" xfId="161"/>
    <cellStyle name="Normal 4 2 3 3 2 4 2" xfId="687"/>
    <cellStyle name="Normal 4 2 3 3 2 5" xfId="682"/>
    <cellStyle name="Normal 4 2 3 3 3" xfId="162"/>
    <cellStyle name="Normal 4 2 3 3 3 2" xfId="163"/>
    <cellStyle name="Normal 4 2 3 3 3 2 2" xfId="689"/>
    <cellStyle name="Normal 4 2 3 3 3 3" xfId="688"/>
    <cellStyle name="Normal 4 2 3 3 4" xfId="164"/>
    <cellStyle name="Normal 4 2 3 3 4 2" xfId="165"/>
    <cellStyle name="Normal 4 2 3 3 4 2 2" xfId="691"/>
    <cellStyle name="Normal 4 2 3 3 4 3" xfId="690"/>
    <cellStyle name="Normal 4 2 3 3 5" xfId="166"/>
    <cellStyle name="Normal 4 2 3 3 5 2" xfId="692"/>
    <cellStyle name="Normal 4 2 3 3 6" xfId="681"/>
    <cellStyle name="Normal 4 2 3 4" xfId="167"/>
    <cellStyle name="Normal 4 2 3 4 2" xfId="168"/>
    <cellStyle name="Normal 4 2 3 4 2 2" xfId="169"/>
    <cellStyle name="Normal 4 2 3 4 2 2 2" xfId="695"/>
    <cellStyle name="Normal 4 2 3 4 2 3" xfId="694"/>
    <cellStyle name="Normal 4 2 3 4 3" xfId="170"/>
    <cellStyle name="Normal 4 2 3 4 3 2" xfId="171"/>
    <cellStyle name="Normal 4 2 3 4 3 2 2" xfId="697"/>
    <cellStyle name="Normal 4 2 3 4 3 3" xfId="696"/>
    <cellStyle name="Normal 4 2 3 4 4" xfId="172"/>
    <cellStyle name="Normal 4 2 3 4 4 2" xfId="698"/>
    <cellStyle name="Normal 4 2 3 4 5" xfId="693"/>
    <cellStyle name="Normal 4 2 3 5" xfId="173"/>
    <cellStyle name="Normal 4 2 3 5 2" xfId="174"/>
    <cellStyle name="Normal 4 2 3 5 2 2" xfId="700"/>
    <cellStyle name="Normal 4 2 3 5 3" xfId="699"/>
    <cellStyle name="Normal 4 2 3 6" xfId="175"/>
    <cellStyle name="Normal 4 2 3 6 2" xfId="176"/>
    <cellStyle name="Normal 4 2 3 6 2 2" xfId="702"/>
    <cellStyle name="Normal 4 2 3 6 3" xfId="701"/>
    <cellStyle name="Normal 4 2 3 7" xfId="177"/>
    <cellStyle name="Normal 4 2 3 7 2" xfId="703"/>
    <cellStyle name="Normal 4 2 3 8" xfId="178"/>
    <cellStyle name="Normal 4 2 3 8 2" xfId="704"/>
    <cellStyle name="Normal 4 2 3 9" xfId="179"/>
    <cellStyle name="Normal 4 2 3 9 2" xfId="705"/>
    <cellStyle name="Normal 4 2 4" xfId="180"/>
    <cellStyle name="Normal 4 2 4 10" xfId="181"/>
    <cellStyle name="Normal 4 2 4 10 2" xfId="707"/>
    <cellStyle name="Normal 4 2 4 11" xfId="182"/>
    <cellStyle name="Normal 4 2 4 11 2" xfId="708"/>
    <cellStyle name="Normal 4 2 4 12" xfId="183"/>
    <cellStyle name="Normal 4 2 4 12 2" xfId="709"/>
    <cellStyle name="Normal 4 2 4 13" xfId="184"/>
    <cellStyle name="Normal 4 2 4 13 2" xfId="710"/>
    <cellStyle name="Normal 4 2 4 14" xfId="185"/>
    <cellStyle name="Normal 4 2 4 14 2" xfId="711"/>
    <cellStyle name="Normal 4 2 4 15" xfId="186"/>
    <cellStyle name="Normal 4 2 4 15 2" xfId="712"/>
    <cellStyle name="Normal 4 2 4 16" xfId="187"/>
    <cellStyle name="Normal 4 2 4 16 2" xfId="713"/>
    <cellStyle name="Normal 4 2 4 17" xfId="188"/>
    <cellStyle name="Normal 4 2 4 17 2" xfId="714"/>
    <cellStyle name="Normal 4 2 4 18" xfId="706"/>
    <cellStyle name="Normal 4 2 4 2" xfId="189"/>
    <cellStyle name="Normal 4 2 4 2 10" xfId="190"/>
    <cellStyle name="Normal 4 2 4 2 10 2" xfId="191"/>
    <cellStyle name="Normal 4 2 4 2 10 2 2" xfId="717"/>
    <cellStyle name="Normal 4 2 4 2 10 3" xfId="716"/>
    <cellStyle name="Normal 4 2 4 2 11" xfId="192"/>
    <cellStyle name="Normal 4 2 4 2 11 2" xfId="718"/>
    <cellStyle name="Normal 4 2 4 2 12" xfId="193"/>
    <cellStyle name="Normal 4 2 4 2 12 2" xfId="719"/>
    <cellStyle name="Normal 4 2 4 2 13" xfId="194"/>
    <cellStyle name="Normal 4 2 4 2 13 2" xfId="720"/>
    <cellStyle name="Normal 4 2 4 2 14" xfId="195"/>
    <cellStyle name="Normal 4 2 4 2 14 2" xfId="721"/>
    <cellStyle name="Normal 4 2 4 2 15" xfId="196"/>
    <cellStyle name="Normal 4 2 4 2 15 2" xfId="722"/>
    <cellStyle name="Normal 4 2 4 2 16" xfId="197"/>
    <cellStyle name="Normal 4 2 4 2 16 2" xfId="723"/>
    <cellStyle name="Normal 4 2 4 2 17" xfId="198"/>
    <cellStyle name="Normal 4 2 4 2 17 2" xfId="724"/>
    <cellStyle name="Normal 4 2 4 2 18" xfId="199"/>
    <cellStyle name="Normal 4 2 4 2 18 2" xfId="725"/>
    <cellStyle name="Normal 4 2 4 2 19" xfId="200"/>
    <cellStyle name="Normal 4 2 4 2 19 2" xfId="726"/>
    <cellStyle name="Normal 4 2 4 2 2" xfId="201"/>
    <cellStyle name="Normal 4 2 4 2 2 2" xfId="202"/>
    <cellStyle name="Normal 4 2 4 2 2 2 2" xfId="203"/>
    <cellStyle name="Normal 4 2 4 2 2 2 2 2" xfId="204"/>
    <cellStyle name="Normal 4 2 4 2 2 2 2 2 2" xfId="730"/>
    <cellStyle name="Normal 4 2 4 2 2 2 2 3" xfId="729"/>
    <cellStyle name="Normal 4 2 4 2 2 2 3" xfId="205"/>
    <cellStyle name="Normal 4 2 4 2 2 2 3 2" xfId="206"/>
    <cellStyle name="Normal 4 2 4 2 2 2 3 2 2" xfId="732"/>
    <cellStyle name="Normal 4 2 4 2 2 2 3 3" xfId="731"/>
    <cellStyle name="Normal 4 2 4 2 2 2 4" xfId="207"/>
    <cellStyle name="Normal 4 2 4 2 2 2 4 2" xfId="733"/>
    <cellStyle name="Normal 4 2 4 2 2 2 5" xfId="728"/>
    <cellStyle name="Normal 4 2 4 2 2 3" xfId="208"/>
    <cellStyle name="Normal 4 2 4 2 2 3 2" xfId="209"/>
    <cellStyle name="Normal 4 2 4 2 2 3 2 2" xfId="735"/>
    <cellStyle name="Normal 4 2 4 2 2 3 3" xfId="734"/>
    <cellStyle name="Normal 4 2 4 2 2 4" xfId="210"/>
    <cellStyle name="Normal 4 2 4 2 2 4 2" xfId="211"/>
    <cellStyle name="Normal 4 2 4 2 2 4 2 2" xfId="737"/>
    <cellStyle name="Normal 4 2 4 2 2 4 3" xfId="736"/>
    <cellStyle name="Normal 4 2 4 2 2 5" xfId="212"/>
    <cellStyle name="Normal 4 2 4 2 2 5 2" xfId="738"/>
    <cellStyle name="Normal 4 2 4 2 2 6" xfId="213"/>
    <cellStyle name="Normal 4 2 4 2 2 6 2" xfId="739"/>
    <cellStyle name="Normal 4 2 4 2 2 7" xfId="727"/>
    <cellStyle name="Normal 4 2 4 2 20" xfId="214"/>
    <cellStyle name="Normal 4 2 4 2 20 2" xfId="740"/>
    <cellStyle name="Normal 4 2 4 2 21" xfId="715"/>
    <cellStyle name="Normal 4 2 4 2 3" xfId="215"/>
    <cellStyle name="Normal 4 2 4 2 3 2" xfId="216"/>
    <cellStyle name="Normal 4 2 4 2 3 2 2" xfId="217"/>
    <cellStyle name="Normal 4 2 4 2 3 2 2 2" xfId="218"/>
    <cellStyle name="Normal 4 2 4 2 3 2 2 2 2" xfId="744"/>
    <cellStyle name="Normal 4 2 4 2 3 2 2 3" xfId="743"/>
    <cellStyle name="Normal 4 2 4 2 3 2 3" xfId="219"/>
    <cellStyle name="Normal 4 2 4 2 3 2 3 2" xfId="220"/>
    <cellStyle name="Normal 4 2 4 2 3 2 3 2 2" xfId="746"/>
    <cellStyle name="Normal 4 2 4 2 3 2 3 3" xfId="745"/>
    <cellStyle name="Normal 4 2 4 2 3 2 4" xfId="221"/>
    <cellStyle name="Normal 4 2 4 2 3 2 4 2" xfId="747"/>
    <cellStyle name="Normal 4 2 4 2 3 2 5" xfId="742"/>
    <cellStyle name="Normal 4 2 4 2 3 3" xfId="222"/>
    <cellStyle name="Normal 4 2 4 2 3 3 2" xfId="223"/>
    <cellStyle name="Normal 4 2 4 2 3 3 2 2" xfId="224"/>
    <cellStyle name="Normal 4 2 4 2 3 3 2 2 2" xfId="750"/>
    <cellStyle name="Normal 4 2 4 2 3 3 2 3" xfId="749"/>
    <cellStyle name="Normal 4 2 4 2 3 3 3" xfId="225"/>
    <cellStyle name="Normal 4 2 4 2 3 3 3 2" xfId="751"/>
    <cellStyle name="Normal 4 2 4 2 3 3 4" xfId="748"/>
    <cellStyle name="Normal 4 2 4 2 3 4" xfId="226"/>
    <cellStyle name="Normal 4 2 4 2 3 4 2" xfId="227"/>
    <cellStyle name="Normal 4 2 4 2 3 4 2 2" xfId="753"/>
    <cellStyle name="Normal 4 2 4 2 3 4 3" xfId="752"/>
    <cellStyle name="Normal 4 2 4 2 3 5" xfId="228"/>
    <cellStyle name="Normal 4 2 4 2 3 5 2" xfId="229"/>
    <cellStyle name="Normal 4 2 4 2 3 5 2 2" xfId="755"/>
    <cellStyle name="Normal 4 2 4 2 3 5 3" xfId="754"/>
    <cellStyle name="Normal 4 2 4 2 3 6" xfId="230"/>
    <cellStyle name="Normal 4 2 4 2 3 6 2" xfId="756"/>
    <cellStyle name="Normal 4 2 4 2 3 7" xfId="231"/>
    <cellStyle name="Normal 4 2 4 2 3 7 2" xfId="232"/>
    <cellStyle name="Normal 4 2 4 2 3 7 2 2" xfId="557"/>
    <cellStyle name="Normal 4 2 4 2 3 7 2 2 2" xfId="1068"/>
    <cellStyle name="Normal 4 2 4 2 3 7 2 3" xfId="758"/>
    <cellStyle name="Normal 4 2 4 2 3 7 3" xfId="757"/>
    <cellStyle name="Normal 4 2 4 2 3 8" xfId="741"/>
    <cellStyle name="Normal 4 2 4 2 4" xfId="233"/>
    <cellStyle name="Normal 4 2 4 2 4 2" xfId="234"/>
    <cellStyle name="Normal 4 2 4 2 4 2 2" xfId="235"/>
    <cellStyle name="Normal 4 2 4 2 4 2 2 2" xfId="236"/>
    <cellStyle name="Normal 4 2 4 2 4 2 2 2 2" xfId="237"/>
    <cellStyle name="Normal 4 2 4 2 4 2 2 2 2 2" xfId="763"/>
    <cellStyle name="Normal 4 2 4 2 4 2 2 2 3" xfId="238"/>
    <cellStyle name="Normal 4 2 4 2 4 2 2 2 3 2" xfId="764"/>
    <cellStyle name="Normal 4 2 4 2 4 2 2 2 4" xfId="762"/>
    <cellStyle name="Normal 4 2 4 2 4 2 2 3" xfId="239"/>
    <cellStyle name="Normal 4 2 4 2 4 2 2 3 2" xfId="765"/>
    <cellStyle name="Normal 4 2 4 2 4 2 2 4" xfId="761"/>
    <cellStyle name="Normal 4 2 4 2 4 2 3" xfId="240"/>
    <cellStyle name="Normal 4 2 4 2 4 2 3 2" xfId="241"/>
    <cellStyle name="Normal 4 2 4 2 4 2 3 2 2" xfId="767"/>
    <cellStyle name="Normal 4 2 4 2 4 2 3 3" xfId="766"/>
    <cellStyle name="Normal 4 2 4 2 4 2 4" xfId="242"/>
    <cellStyle name="Normal 4 2 4 2 4 2 4 2" xfId="243"/>
    <cellStyle name="Normal 4 2 4 2 4 2 4 2 2" xfId="769"/>
    <cellStyle name="Normal 4 2 4 2 4 2 4 3" xfId="768"/>
    <cellStyle name="Normal 4 2 4 2 4 2 5" xfId="244"/>
    <cellStyle name="Normal 4 2 4 2 4 2 5 2" xfId="770"/>
    <cellStyle name="Normal 4 2 4 2 4 2 6" xfId="760"/>
    <cellStyle name="Normal 4 2 4 2 4 3" xfId="245"/>
    <cellStyle name="Normal 4 2 4 2 4 3 2" xfId="246"/>
    <cellStyle name="Normal 4 2 4 2 4 3 2 2" xfId="247"/>
    <cellStyle name="Normal 4 2 4 2 4 3 2 2 2" xfId="773"/>
    <cellStyle name="Normal 4 2 4 2 4 3 2 3" xfId="772"/>
    <cellStyle name="Normal 4 2 4 2 4 3 3" xfId="248"/>
    <cellStyle name="Normal 4 2 4 2 4 3 3 2" xfId="774"/>
    <cellStyle name="Normal 4 2 4 2 4 3 4" xfId="249"/>
    <cellStyle name="Normal 4 2 4 2 4 3 4 2" xfId="775"/>
    <cellStyle name="Normal 4 2 4 2 4 3 5" xfId="250"/>
    <cellStyle name="Normal 4 2 4 2 4 3 5 2" xfId="776"/>
    <cellStyle name="Normal 4 2 4 2 4 3 6" xfId="771"/>
    <cellStyle name="Normal 4 2 4 2 4 4" xfId="251"/>
    <cellStyle name="Normal 4 2 4 2 4 4 2" xfId="252"/>
    <cellStyle name="Normal 4 2 4 2 4 4 2 2" xfId="253"/>
    <cellStyle name="Normal 4 2 4 2 4 4 2 2 2" xfId="779"/>
    <cellStyle name="Normal 4 2 4 2 4 4 2 3" xfId="778"/>
    <cellStyle name="Normal 4 2 4 2 4 4 3" xfId="254"/>
    <cellStyle name="Normal 4 2 4 2 4 4 3 2" xfId="780"/>
    <cellStyle name="Normal 4 2 4 2 4 4 4" xfId="777"/>
    <cellStyle name="Normal 4 2 4 2 4 5" xfId="255"/>
    <cellStyle name="Normal 4 2 4 2 4 5 2" xfId="256"/>
    <cellStyle name="Normal 4 2 4 2 4 5 2 2" xfId="782"/>
    <cellStyle name="Normal 4 2 4 2 4 5 3" xfId="781"/>
    <cellStyle name="Normal 4 2 4 2 4 6" xfId="257"/>
    <cellStyle name="Normal 4 2 4 2 4 6 2" xfId="258"/>
    <cellStyle name="Normal 4 2 4 2 4 6 2 2" xfId="784"/>
    <cellStyle name="Normal 4 2 4 2 4 6 3" xfId="783"/>
    <cellStyle name="Normal 4 2 4 2 4 7" xfId="259"/>
    <cellStyle name="Normal 4 2 4 2 4 7 2" xfId="785"/>
    <cellStyle name="Normal 4 2 4 2 4 8" xfId="260"/>
    <cellStyle name="Normal 4 2 4 2 4 8 2" xfId="786"/>
    <cellStyle name="Normal 4 2 4 2 4 9" xfId="759"/>
    <cellStyle name="Normal 4 2 4 2 5" xfId="261"/>
    <cellStyle name="Normal 4 2 4 2 5 2" xfId="262"/>
    <cellStyle name="Normal 4 2 4 2 5 2 2" xfId="263"/>
    <cellStyle name="Normal 4 2 4 2 5 2 2 2" xfId="264"/>
    <cellStyle name="Normal 4 2 4 2 5 2 2 2 2" xfId="790"/>
    <cellStyle name="Normal 4 2 4 2 5 2 2 3" xfId="789"/>
    <cellStyle name="Normal 4 2 4 2 5 2 3" xfId="265"/>
    <cellStyle name="Normal 4 2 4 2 5 2 3 2" xfId="266"/>
    <cellStyle name="Normal 4 2 4 2 5 2 3 2 2" xfId="792"/>
    <cellStyle name="Normal 4 2 4 2 5 2 3 3" xfId="791"/>
    <cellStyle name="Normal 4 2 4 2 5 2 4" xfId="267"/>
    <cellStyle name="Normal 4 2 4 2 5 2 4 2" xfId="793"/>
    <cellStyle name="Normal 4 2 4 2 5 2 5" xfId="788"/>
    <cellStyle name="Normal 4 2 4 2 5 3" xfId="268"/>
    <cellStyle name="Normal 4 2 4 2 5 3 2" xfId="269"/>
    <cellStyle name="Normal 4 2 4 2 5 3 2 2" xfId="795"/>
    <cellStyle name="Normal 4 2 4 2 5 3 3" xfId="794"/>
    <cellStyle name="Normal 4 2 4 2 5 4" xfId="270"/>
    <cellStyle name="Normal 4 2 4 2 5 4 2" xfId="271"/>
    <cellStyle name="Normal 4 2 4 2 5 4 2 2" xfId="797"/>
    <cellStyle name="Normal 4 2 4 2 5 4 3" xfId="796"/>
    <cellStyle name="Normal 4 2 4 2 5 5" xfId="272"/>
    <cellStyle name="Normal 4 2 4 2 5 5 2" xfId="798"/>
    <cellStyle name="Normal 4 2 4 2 5 6" xfId="787"/>
    <cellStyle name="Normal 4 2 4 2 6" xfId="273"/>
    <cellStyle name="Normal 4 2 4 2 6 2" xfId="274"/>
    <cellStyle name="Normal 4 2 4 2 6 2 2" xfId="275"/>
    <cellStyle name="Normal 4 2 4 2 6 2 2 2" xfId="276"/>
    <cellStyle name="Normal 4 2 4 2 6 2 2 2 2" xfId="802"/>
    <cellStyle name="Normal 4 2 4 2 6 2 2 3" xfId="801"/>
    <cellStyle name="Normal 4 2 4 2 6 2 3" xfId="277"/>
    <cellStyle name="Normal 4 2 4 2 6 2 3 2" xfId="278"/>
    <cellStyle name="Normal 4 2 4 2 6 2 3 2 2" xfId="804"/>
    <cellStyle name="Normal 4 2 4 2 6 2 3 3" xfId="803"/>
    <cellStyle name="Normal 4 2 4 2 6 2 4" xfId="279"/>
    <cellStyle name="Normal 4 2 4 2 6 2 4 2" xfId="805"/>
    <cellStyle name="Normal 4 2 4 2 6 2 5" xfId="800"/>
    <cellStyle name="Normal 4 2 4 2 6 3" xfId="280"/>
    <cellStyle name="Normal 4 2 4 2 6 3 2" xfId="281"/>
    <cellStyle name="Normal 4 2 4 2 6 3 2 2" xfId="282"/>
    <cellStyle name="Normal 4 2 4 2 6 3 2 2 2" xfId="808"/>
    <cellStyle name="Normal 4 2 4 2 6 3 2 3" xfId="807"/>
    <cellStyle name="Normal 4 2 4 2 6 3 3" xfId="283"/>
    <cellStyle name="Normal 4 2 4 2 6 3 3 2" xfId="809"/>
    <cellStyle name="Normal 4 2 4 2 6 3 4" xfId="806"/>
    <cellStyle name="Normal 4 2 4 2 6 4" xfId="284"/>
    <cellStyle name="Normal 4 2 4 2 6 4 2" xfId="285"/>
    <cellStyle name="Normal 4 2 4 2 6 4 2 2" xfId="811"/>
    <cellStyle name="Normal 4 2 4 2 6 4 3" xfId="810"/>
    <cellStyle name="Normal 4 2 4 2 6 5" xfId="286"/>
    <cellStyle name="Normal 4 2 4 2 6 5 2" xfId="287"/>
    <cellStyle name="Normal 4 2 4 2 6 5 2 2" xfId="813"/>
    <cellStyle name="Normal 4 2 4 2 6 5 3" xfId="812"/>
    <cellStyle name="Normal 4 2 4 2 6 6" xfId="288"/>
    <cellStyle name="Normal 4 2 4 2 6 6 2" xfId="814"/>
    <cellStyle name="Normal 4 2 4 2 6 7" xfId="289"/>
    <cellStyle name="Normal 4 2 4 2 6 7 2" xfId="290"/>
    <cellStyle name="Normal 4 2 4 2 6 7 2 2" xfId="558"/>
    <cellStyle name="Normal 4 2 4 2 6 7 2 2 2" xfId="1069"/>
    <cellStyle name="Normal 4 2 4 2 6 7 2 3" xfId="816"/>
    <cellStyle name="Normal 4 2 4 2 6 7 3" xfId="815"/>
    <cellStyle name="Normal 4 2 4 2 6 8" xfId="799"/>
    <cellStyle name="Normal 4 2 4 2 7" xfId="291"/>
    <cellStyle name="Normal 4 2 4 2 7 2" xfId="292"/>
    <cellStyle name="Normal 4 2 4 2 7 2 2" xfId="293"/>
    <cellStyle name="Normal 4 2 4 2 7 2 2 2" xfId="294"/>
    <cellStyle name="Normal 4 2 4 2 7 2 2 2 2" xfId="820"/>
    <cellStyle name="Normal 4 2 4 2 7 2 2 3" xfId="819"/>
    <cellStyle name="Normal 4 2 4 2 7 2 3" xfId="295"/>
    <cellStyle name="Normal 4 2 4 2 7 2 3 2" xfId="296"/>
    <cellStyle name="Normal 4 2 4 2 7 2 3 2 2" xfId="822"/>
    <cellStyle name="Normal 4 2 4 2 7 2 3 3" xfId="821"/>
    <cellStyle name="Normal 4 2 4 2 7 2 4" xfId="297"/>
    <cellStyle name="Normal 4 2 4 2 7 2 4 2" xfId="823"/>
    <cellStyle name="Normal 4 2 4 2 7 2 5" xfId="818"/>
    <cellStyle name="Normal 4 2 4 2 7 3" xfId="298"/>
    <cellStyle name="Normal 4 2 4 2 7 3 2" xfId="299"/>
    <cellStyle name="Normal 4 2 4 2 7 3 2 2" xfId="825"/>
    <cellStyle name="Normal 4 2 4 2 7 3 3" xfId="824"/>
    <cellStyle name="Normal 4 2 4 2 7 4" xfId="300"/>
    <cellStyle name="Normal 4 2 4 2 7 4 2" xfId="301"/>
    <cellStyle name="Normal 4 2 4 2 7 4 2 2" xfId="827"/>
    <cellStyle name="Normal 4 2 4 2 7 4 3" xfId="826"/>
    <cellStyle name="Normal 4 2 4 2 7 5" xfId="302"/>
    <cellStyle name="Normal 4 2 4 2 7 5 2" xfId="828"/>
    <cellStyle name="Normal 4 2 4 2 7 6" xfId="817"/>
    <cellStyle name="Normal 4 2 4 2 8" xfId="303"/>
    <cellStyle name="Normal 4 2 4 2 8 2" xfId="304"/>
    <cellStyle name="Normal 4 2 4 2 8 2 2" xfId="305"/>
    <cellStyle name="Normal 4 2 4 2 8 2 2 2" xfId="831"/>
    <cellStyle name="Normal 4 2 4 2 8 2 3" xfId="830"/>
    <cellStyle name="Normal 4 2 4 2 8 3" xfId="306"/>
    <cellStyle name="Normal 4 2 4 2 8 3 2" xfId="307"/>
    <cellStyle name="Normal 4 2 4 2 8 3 2 2" xfId="833"/>
    <cellStyle name="Normal 4 2 4 2 8 3 3" xfId="832"/>
    <cellStyle name="Normal 4 2 4 2 8 4" xfId="308"/>
    <cellStyle name="Normal 4 2 4 2 8 4 2" xfId="834"/>
    <cellStyle name="Normal 4 2 4 2 8 5" xfId="829"/>
    <cellStyle name="Normal 4 2 4 2 9" xfId="309"/>
    <cellStyle name="Normal 4 2 4 2 9 2" xfId="310"/>
    <cellStyle name="Normal 4 2 4 2 9 2 2" xfId="836"/>
    <cellStyle name="Normal 4 2 4 2 9 3" xfId="835"/>
    <cellStyle name="Normal 4 2 4 3" xfId="311"/>
    <cellStyle name="Normal 4 2 4 3 2" xfId="312"/>
    <cellStyle name="Normal 4 2 4 3 2 2" xfId="313"/>
    <cellStyle name="Normal 4 2 4 3 2 2 2" xfId="314"/>
    <cellStyle name="Normal 4 2 4 3 2 2 2 2" xfId="840"/>
    <cellStyle name="Normal 4 2 4 3 2 2 3" xfId="839"/>
    <cellStyle name="Normal 4 2 4 3 2 3" xfId="315"/>
    <cellStyle name="Normal 4 2 4 3 2 3 2" xfId="316"/>
    <cellStyle name="Normal 4 2 4 3 2 3 2 2" xfId="842"/>
    <cellStyle name="Normal 4 2 4 3 2 3 3" xfId="841"/>
    <cellStyle name="Normal 4 2 4 3 2 4" xfId="317"/>
    <cellStyle name="Normal 4 2 4 3 2 4 2" xfId="843"/>
    <cellStyle name="Normal 4 2 4 3 2 5" xfId="838"/>
    <cellStyle name="Normal 4 2 4 3 3" xfId="318"/>
    <cellStyle name="Normal 4 2 4 3 3 2" xfId="319"/>
    <cellStyle name="Normal 4 2 4 3 3 2 2" xfId="845"/>
    <cellStyle name="Normal 4 2 4 3 3 3" xfId="844"/>
    <cellStyle name="Normal 4 2 4 3 4" xfId="320"/>
    <cellStyle name="Normal 4 2 4 3 4 2" xfId="321"/>
    <cellStyle name="Normal 4 2 4 3 4 2 2" xfId="847"/>
    <cellStyle name="Normal 4 2 4 3 4 3" xfId="846"/>
    <cellStyle name="Normal 4 2 4 3 5" xfId="322"/>
    <cellStyle name="Normal 4 2 4 3 5 2" xfId="848"/>
    <cellStyle name="Normal 4 2 4 3 6" xfId="323"/>
    <cellStyle name="Normal 4 2 4 3 6 2" xfId="849"/>
    <cellStyle name="Normal 4 2 4 3 7" xfId="837"/>
    <cellStyle name="Normal 4 2 4 4" xfId="324"/>
    <cellStyle name="Normal 4 2 4 4 2" xfId="325"/>
    <cellStyle name="Normal 4 2 4 4 2 2" xfId="326"/>
    <cellStyle name="Normal 4 2 4 4 2 2 2" xfId="327"/>
    <cellStyle name="Normal 4 2 4 4 2 2 2 2" xfId="853"/>
    <cellStyle name="Normal 4 2 4 4 2 2 3" xfId="852"/>
    <cellStyle name="Normal 4 2 4 4 2 3" xfId="328"/>
    <cellStyle name="Normal 4 2 4 4 2 3 2" xfId="329"/>
    <cellStyle name="Normal 4 2 4 4 2 3 2 2" xfId="855"/>
    <cellStyle name="Normal 4 2 4 4 2 3 3" xfId="854"/>
    <cellStyle name="Normal 4 2 4 4 2 4" xfId="330"/>
    <cellStyle name="Normal 4 2 4 4 2 4 2" xfId="856"/>
    <cellStyle name="Normal 4 2 4 4 2 5" xfId="851"/>
    <cellStyle name="Normal 4 2 4 4 3" xfId="331"/>
    <cellStyle name="Normal 4 2 4 4 3 2" xfId="332"/>
    <cellStyle name="Normal 4 2 4 4 3 2 2" xfId="858"/>
    <cellStyle name="Normal 4 2 4 4 3 3" xfId="857"/>
    <cellStyle name="Normal 4 2 4 4 4" xfId="333"/>
    <cellStyle name="Normal 4 2 4 4 4 2" xfId="334"/>
    <cellStyle name="Normal 4 2 4 4 4 2 2" xfId="860"/>
    <cellStyle name="Normal 4 2 4 4 4 3" xfId="859"/>
    <cellStyle name="Normal 4 2 4 4 5" xfId="335"/>
    <cellStyle name="Normal 4 2 4 4 5 2" xfId="861"/>
    <cellStyle name="Normal 4 2 4 4 6" xfId="850"/>
    <cellStyle name="Normal 4 2 4 5" xfId="336"/>
    <cellStyle name="Normal 4 2 4 5 2" xfId="337"/>
    <cellStyle name="Normal 4 2 4 5 2 2" xfId="338"/>
    <cellStyle name="Normal 4 2 4 5 2 2 2" xfId="864"/>
    <cellStyle name="Normal 4 2 4 5 2 3" xfId="863"/>
    <cellStyle name="Normal 4 2 4 5 3" xfId="339"/>
    <cellStyle name="Normal 4 2 4 5 3 2" xfId="340"/>
    <cellStyle name="Normal 4 2 4 5 3 2 2" xfId="866"/>
    <cellStyle name="Normal 4 2 4 5 3 3" xfId="865"/>
    <cellStyle name="Normal 4 2 4 5 4" xfId="341"/>
    <cellStyle name="Normal 4 2 4 5 4 2" xfId="867"/>
    <cellStyle name="Normal 4 2 4 5 5" xfId="862"/>
    <cellStyle name="Normal 4 2 4 6" xfId="342"/>
    <cellStyle name="Normal 4 2 4 6 2" xfId="343"/>
    <cellStyle name="Normal 4 2 4 6 2 2" xfId="869"/>
    <cellStyle name="Normal 4 2 4 6 3" xfId="868"/>
    <cellStyle name="Normal 4 2 4 7" xfId="344"/>
    <cellStyle name="Normal 4 2 4 7 2" xfId="345"/>
    <cellStyle name="Normal 4 2 4 7 2 2" xfId="871"/>
    <cellStyle name="Normal 4 2 4 7 3" xfId="870"/>
    <cellStyle name="Normal 4 2 4 8" xfId="346"/>
    <cellStyle name="Normal 4 2 4 8 2" xfId="872"/>
    <cellStyle name="Normal 4 2 4 9" xfId="347"/>
    <cellStyle name="Normal 4 2 4 9 2" xfId="873"/>
    <cellStyle name="Normal 4 2 5" xfId="348"/>
    <cellStyle name="Normal 4 2 5 2" xfId="349"/>
    <cellStyle name="Normal 4 2 5 2 2" xfId="350"/>
    <cellStyle name="Normal 4 2 5 2 2 2" xfId="351"/>
    <cellStyle name="Normal 4 2 5 2 2 2 2" xfId="877"/>
    <cellStyle name="Normal 4 2 5 2 2 3" xfId="876"/>
    <cellStyle name="Normal 4 2 5 2 3" xfId="352"/>
    <cellStyle name="Normal 4 2 5 2 3 2" xfId="353"/>
    <cellStyle name="Normal 4 2 5 2 3 2 2" xfId="879"/>
    <cellStyle name="Normal 4 2 5 2 3 3" xfId="878"/>
    <cellStyle name="Normal 4 2 5 2 4" xfId="354"/>
    <cellStyle name="Normal 4 2 5 2 4 2" xfId="880"/>
    <cellStyle name="Normal 4 2 5 2 5" xfId="875"/>
    <cellStyle name="Normal 4 2 5 3" xfId="355"/>
    <cellStyle name="Normal 4 2 5 3 2" xfId="356"/>
    <cellStyle name="Normal 4 2 5 3 2 2" xfId="882"/>
    <cellStyle name="Normal 4 2 5 3 3" xfId="881"/>
    <cellStyle name="Normal 4 2 5 4" xfId="357"/>
    <cellStyle name="Normal 4 2 5 4 2" xfId="358"/>
    <cellStyle name="Normal 4 2 5 4 2 2" xfId="884"/>
    <cellStyle name="Normal 4 2 5 4 3" xfId="883"/>
    <cellStyle name="Normal 4 2 5 5" xfId="359"/>
    <cellStyle name="Normal 4 2 5 5 2" xfId="885"/>
    <cellStyle name="Normal 4 2 5 6" xfId="360"/>
    <cellStyle name="Normal 4 2 5 6 2" xfId="886"/>
    <cellStyle name="Normal 4 2 5 7" xfId="874"/>
    <cellStyle name="Normal 4 2 6" xfId="361"/>
    <cellStyle name="Normal 4 2 6 2" xfId="362"/>
    <cellStyle name="Normal 4 2 6 2 2" xfId="363"/>
    <cellStyle name="Normal 4 2 6 2 2 2" xfId="364"/>
    <cellStyle name="Normal 4 2 6 2 2 2 2" xfId="890"/>
    <cellStyle name="Normal 4 2 6 2 2 3" xfId="889"/>
    <cellStyle name="Normal 4 2 6 2 3" xfId="365"/>
    <cellStyle name="Normal 4 2 6 2 3 2" xfId="366"/>
    <cellStyle name="Normal 4 2 6 2 3 2 2" xfId="892"/>
    <cellStyle name="Normal 4 2 6 2 3 3" xfId="891"/>
    <cellStyle name="Normal 4 2 6 2 4" xfId="367"/>
    <cellStyle name="Normal 4 2 6 2 4 2" xfId="893"/>
    <cellStyle name="Normal 4 2 6 2 5" xfId="888"/>
    <cellStyle name="Normal 4 2 6 3" xfId="368"/>
    <cellStyle name="Normal 4 2 6 3 2" xfId="369"/>
    <cellStyle name="Normal 4 2 6 3 2 2" xfId="895"/>
    <cellStyle name="Normal 4 2 6 3 3" xfId="894"/>
    <cellStyle name="Normal 4 2 6 4" xfId="370"/>
    <cellStyle name="Normal 4 2 6 4 2" xfId="371"/>
    <cellStyle name="Normal 4 2 6 4 2 2" xfId="897"/>
    <cellStyle name="Normal 4 2 6 4 3" xfId="896"/>
    <cellStyle name="Normal 4 2 6 5" xfId="372"/>
    <cellStyle name="Normal 4 2 6 5 2" xfId="898"/>
    <cellStyle name="Normal 4 2 6 6" xfId="887"/>
    <cellStyle name="Normal 4 2 7" xfId="373"/>
    <cellStyle name="Normal 4 2 7 2" xfId="374"/>
    <cellStyle name="Normal 4 2 7 2 2" xfId="375"/>
    <cellStyle name="Normal 4 2 7 2 2 2" xfId="901"/>
    <cellStyle name="Normal 4 2 7 2 3" xfId="900"/>
    <cellStyle name="Normal 4 2 7 3" xfId="376"/>
    <cellStyle name="Normal 4 2 7 3 2" xfId="377"/>
    <cellStyle name="Normal 4 2 7 3 2 2" xfId="903"/>
    <cellStyle name="Normal 4 2 7 3 3" xfId="902"/>
    <cellStyle name="Normal 4 2 7 4" xfId="378"/>
    <cellStyle name="Normal 4 2 7 4 2" xfId="904"/>
    <cellStyle name="Normal 4 2 7 5" xfId="899"/>
    <cellStyle name="Normal 4 2 8" xfId="379"/>
    <cellStyle name="Normal 4 2 8 2" xfId="380"/>
    <cellStyle name="Normal 4 2 8 2 2" xfId="906"/>
    <cellStyle name="Normal 4 2 8 3" xfId="905"/>
    <cellStyle name="Normal 4 2 9" xfId="381"/>
    <cellStyle name="Normal 4 2 9 2" xfId="382"/>
    <cellStyle name="Normal 4 2 9 2 2" xfId="908"/>
    <cellStyle name="Normal 4 2 9 3" xfId="907"/>
    <cellStyle name="Normal 4 3" xfId="383"/>
    <cellStyle name="Normal 4 3 2" xfId="384"/>
    <cellStyle name="Normal 4 3 2 2" xfId="385"/>
    <cellStyle name="Normal 4 3 2 2 2" xfId="386"/>
    <cellStyle name="Normal 4 3 2 2 2 2" xfId="912"/>
    <cellStyle name="Normal 4 3 2 2 3" xfId="911"/>
    <cellStyle name="Normal 4 3 2 3" xfId="387"/>
    <cellStyle name="Normal 4 3 2 3 2" xfId="388"/>
    <cellStyle name="Normal 4 3 2 3 2 2" xfId="914"/>
    <cellStyle name="Normal 4 3 2 3 3" xfId="913"/>
    <cellStyle name="Normal 4 3 2 4" xfId="389"/>
    <cellStyle name="Normal 4 3 2 4 2" xfId="915"/>
    <cellStyle name="Normal 4 3 2 5" xfId="910"/>
    <cellStyle name="Normal 4 3 3" xfId="390"/>
    <cellStyle name="Normal 4 3 3 2" xfId="391"/>
    <cellStyle name="Normal 4 3 3 2 2" xfId="917"/>
    <cellStyle name="Normal 4 3 3 3" xfId="916"/>
    <cellStyle name="Normal 4 3 4" xfId="392"/>
    <cellStyle name="Normal 4 3 4 2" xfId="393"/>
    <cellStyle name="Normal 4 3 4 2 2" xfId="919"/>
    <cellStyle name="Normal 4 3 4 3" xfId="918"/>
    <cellStyle name="Normal 4 3 5" xfId="394"/>
    <cellStyle name="Normal 4 3 5 2" xfId="920"/>
    <cellStyle name="Normal 4 3 6" xfId="395"/>
    <cellStyle name="Normal 4 3 6 2" xfId="921"/>
    <cellStyle name="Normal 4 3 7" xfId="909"/>
    <cellStyle name="Normal 4 4" xfId="396"/>
    <cellStyle name="Normal 4 4 2" xfId="397"/>
    <cellStyle name="Normal 4 4 2 2" xfId="398"/>
    <cellStyle name="Normal 4 4 2 2 2" xfId="399"/>
    <cellStyle name="Normal 4 4 2 2 2 2" xfId="925"/>
    <cellStyle name="Normal 4 4 2 2 3" xfId="924"/>
    <cellStyle name="Normal 4 4 2 3" xfId="400"/>
    <cellStyle name="Normal 4 4 2 3 2" xfId="401"/>
    <cellStyle name="Normal 4 4 2 3 2 2" xfId="927"/>
    <cellStyle name="Normal 4 4 2 3 3" xfId="926"/>
    <cellStyle name="Normal 4 4 2 4" xfId="402"/>
    <cellStyle name="Normal 4 4 2 4 2" xfId="928"/>
    <cellStyle name="Normal 4 4 2 5" xfId="923"/>
    <cellStyle name="Normal 4 4 3" xfId="403"/>
    <cellStyle name="Normal 4 4 3 2" xfId="404"/>
    <cellStyle name="Normal 4 4 3 2 2" xfId="930"/>
    <cellStyle name="Normal 4 4 3 3" xfId="929"/>
    <cellStyle name="Normal 4 4 4" xfId="405"/>
    <cellStyle name="Normal 4 4 4 2" xfId="406"/>
    <cellStyle name="Normal 4 4 4 2 2" xfId="932"/>
    <cellStyle name="Normal 4 4 4 3" xfId="931"/>
    <cellStyle name="Normal 4 4 5" xfId="407"/>
    <cellStyle name="Normal 4 4 5 2" xfId="933"/>
    <cellStyle name="Normal 4 4 6" xfId="922"/>
    <cellStyle name="Normal 4 5" xfId="408"/>
    <cellStyle name="Normal 4 5 2" xfId="409"/>
    <cellStyle name="Normal 4 5 2 2" xfId="410"/>
    <cellStyle name="Normal 4 5 2 2 2" xfId="936"/>
    <cellStyle name="Normal 4 5 2 3" xfId="935"/>
    <cellStyle name="Normal 4 5 3" xfId="411"/>
    <cellStyle name="Normal 4 5 3 2" xfId="412"/>
    <cellStyle name="Normal 4 5 3 2 2" xfId="938"/>
    <cellStyle name="Normal 4 5 3 3" xfId="937"/>
    <cellStyle name="Normal 4 5 4" xfId="413"/>
    <cellStyle name="Normal 4 5 4 2" xfId="939"/>
    <cellStyle name="Normal 4 5 5" xfId="934"/>
    <cellStyle name="Normal 4 6" xfId="414"/>
    <cellStyle name="Normal 4 6 2" xfId="415"/>
    <cellStyle name="Normal 4 6 2 2" xfId="941"/>
    <cellStyle name="Normal 4 6 3" xfId="940"/>
    <cellStyle name="Normal 4 7" xfId="416"/>
    <cellStyle name="Normal 4 7 2" xfId="417"/>
    <cellStyle name="Normal 4 7 2 2" xfId="943"/>
    <cellStyle name="Normal 4 7 3" xfId="942"/>
    <cellStyle name="Normal 4 8" xfId="418"/>
    <cellStyle name="Normal 4 8 2" xfId="944"/>
    <cellStyle name="Normal 4 9" xfId="419"/>
    <cellStyle name="Normal 4 9 2" xfId="945"/>
    <cellStyle name="Normal 5" xfId="420"/>
    <cellStyle name="Normal 5 2" xfId="421"/>
    <cellStyle name="Normal 5 3" xfId="422"/>
    <cellStyle name="Normal 6" xfId="423"/>
    <cellStyle name="Normal 6 2" xfId="424"/>
    <cellStyle name="Normal 6 3" xfId="425"/>
    <cellStyle name="Normal 7" xfId="426"/>
    <cellStyle name="Normal 7 10" xfId="427"/>
    <cellStyle name="Normal 7 10 2" xfId="947"/>
    <cellStyle name="Normal 7 11" xfId="428"/>
    <cellStyle name="Normal 7 11 2" xfId="948"/>
    <cellStyle name="Normal 7 12" xfId="429"/>
    <cellStyle name="Normal 7 12 2" xfId="949"/>
    <cellStyle name="Normal 7 13" xfId="430"/>
    <cellStyle name="Normal 7 13 2" xfId="950"/>
    <cellStyle name="Normal 7 14" xfId="431"/>
    <cellStyle name="Normal 7 14 2" xfId="951"/>
    <cellStyle name="Normal 7 15" xfId="432"/>
    <cellStyle name="Normal 7 15 2" xfId="952"/>
    <cellStyle name="Normal 7 16" xfId="433"/>
    <cellStyle name="Normal 7 16 2" xfId="953"/>
    <cellStyle name="Normal 7 17" xfId="434"/>
    <cellStyle name="Normal 7 17 2" xfId="954"/>
    <cellStyle name="Normal 7 18" xfId="946"/>
    <cellStyle name="Normal 7 2" xfId="435"/>
    <cellStyle name="Normal 7 2 10" xfId="436"/>
    <cellStyle name="Normal 7 2 10 2" xfId="956"/>
    <cellStyle name="Normal 7 2 11" xfId="437"/>
    <cellStyle name="Normal 7 2 11 2" xfId="957"/>
    <cellStyle name="Normal 7 2 12" xfId="438"/>
    <cellStyle name="Normal 7 2 12 2" xfId="958"/>
    <cellStyle name="Normal 7 2 13" xfId="439"/>
    <cellStyle name="Normal 7 2 13 2" xfId="959"/>
    <cellStyle name="Normal 7 2 14" xfId="440"/>
    <cellStyle name="Normal 7 2 14 2" xfId="960"/>
    <cellStyle name="Normal 7 2 15" xfId="441"/>
    <cellStyle name="Normal 7 2 15 2" xfId="961"/>
    <cellStyle name="Normal 7 2 16" xfId="442"/>
    <cellStyle name="Normal 7 2 16 2" xfId="962"/>
    <cellStyle name="Normal 7 2 17" xfId="443"/>
    <cellStyle name="Normal 7 2 17 2" xfId="963"/>
    <cellStyle name="Normal 7 2 18" xfId="955"/>
    <cellStyle name="Normal 7 2 2" xfId="444"/>
    <cellStyle name="Normal 7 2 2 2" xfId="445"/>
    <cellStyle name="Normal 7 2 2 2 2" xfId="446"/>
    <cellStyle name="Normal 7 2 2 2 2 2" xfId="447"/>
    <cellStyle name="Normal 7 2 2 2 2 2 2" xfId="967"/>
    <cellStyle name="Normal 7 2 2 2 2 3" xfId="966"/>
    <cellStyle name="Normal 7 2 2 2 3" xfId="448"/>
    <cellStyle name="Normal 7 2 2 2 3 2" xfId="449"/>
    <cellStyle name="Normal 7 2 2 2 3 2 2" xfId="969"/>
    <cellStyle name="Normal 7 2 2 2 3 3" xfId="968"/>
    <cellStyle name="Normal 7 2 2 2 4" xfId="450"/>
    <cellStyle name="Normal 7 2 2 2 4 2" xfId="970"/>
    <cellStyle name="Normal 7 2 2 2 5" xfId="965"/>
    <cellStyle name="Normal 7 2 2 3" xfId="451"/>
    <cellStyle name="Normal 7 2 2 3 2" xfId="452"/>
    <cellStyle name="Normal 7 2 2 3 2 2" xfId="972"/>
    <cellStyle name="Normal 7 2 2 3 3" xfId="971"/>
    <cellStyle name="Normal 7 2 2 4" xfId="453"/>
    <cellStyle name="Normal 7 2 2 4 2" xfId="454"/>
    <cellStyle name="Normal 7 2 2 4 2 2" xfId="974"/>
    <cellStyle name="Normal 7 2 2 4 3" xfId="973"/>
    <cellStyle name="Normal 7 2 2 5" xfId="455"/>
    <cellStyle name="Normal 7 2 2 5 2" xfId="975"/>
    <cellStyle name="Normal 7 2 2 6" xfId="456"/>
    <cellStyle name="Normal 7 2 2 6 2" xfId="976"/>
    <cellStyle name="Normal 7 2 2 7" xfId="964"/>
    <cellStyle name="Normal 7 2 3" xfId="457"/>
    <cellStyle name="Normal 7 2 3 2" xfId="458"/>
    <cellStyle name="Normal 7 2 3 2 2" xfId="459"/>
    <cellStyle name="Normal 7 2 3 2 2 2" xfId="460"/>
    <cellStyle name="Normal 7 2 3 2 2 2 2" xfId="980"/>
    <cellStyle name="Normal 7 2 3 2 2 3" xfId="979"/>
    <cellStyle name="Normal 7 2 3 2 3" xfId="461"/>
    <cellStyle name="Normal 7 2 3 2 3 2" xfId="462"/>
    <cellStyle name="Normal 7 2 3 2 3 2 2" xfId="982"/>
    <cellStyle name="Normal 7 2 3 2 3 3" xfId="981"/>
    <cellStyle name="Normal 7 2 3 2 4" xfId="463"/>
    <cellStyle name="Normal 7 2 3 2 4 2" xfId="983"/>
    <cellStyle name="Normal 7 2 3 2 5" xfId="978"/>
    <cellStyle name="Normal 7 2 3 3" xfId="464"/>
    <cellStyle name="Normal 7 2 3 3 2" xfId="465"/>
    <cellStyle name="Normal 7 2 3 3 2 2" xfId="466"/>
    <cellStyle name="Normal 7 2 3 3 2 2 2" xfId="986"/>
    <cellStyle name="Normal 7 2 3 3 2 3" xfId="985"/>
    <cellStyle name="Normal 7 2 3 3 3" xfId="467"/>
    <cellStyle name="Normal 7 2 3 3 3 2" xfId="987"/>
    <cellStyle name="Normal 7 2 3 3 4" xfId="468"/>
    <cellStyle name="Normal 7 2 3 3 4 2" xfId="988"/>
    <cellStyle name="Normal 7 2 3 3 5" xfId="984"/>
    <cellStyle name="Normal 7 2 3 4" xfId="469"/>
    <cellStyle name="Normal 7 2 3 4 2" xfId="470"/>
    <cellStyle name="Normal 7 2 3 4 2 2" xfId="990"/>
    <cellStyle name="Normal 7 2 3 4 3" xfId="989"/>
    <cellStyle name="Normal 7 2 3 5" xfId="471"/>
    <cellStyle name="Normal 7 2 3 5 2" xfId="472"/>
    <cellStyle name="Normal 7 2 3 5 2 2" xfId="992"/>
    <cellStyle name="Normal 7 2 3 5 3" xfId="991"/>
    <cellStyle name="Normal 7 2 3 6" xfId="473"/>
    <cellStyle name="Normal 7 2 3 6 2" xfId="993"/>
    <cellStyle name="Normal 7 2 3 7" xfId="977"/>
    <cellStyle name="Normal 7 2 4" xfId="474"/>
    <cellStyle name="Normal 7 2 4 2" xfId="475"/>
    <cellStyle name="Normal 7 2 4 2 2" xfId="476"/>
    <cellStyle name="Normal 7 2 4 2 2 2" xfId="477"/>
    <cellStyle name="Normal 7 2 4 2 2 2 2" xfId="997"/>
    <cellStyle name="Normal 7 2 4 2 2 3" xfId="996"/>
    <cellStyle name="Normal 7 2 4 2 3" xfId="478"/>
    <cellStyle name="Normal 7 2 4 2 3 2" xfId="479"/>
    <cellStyle name="Normal 7 2 4 2 3 2 2" xfId="999"/>
    <cellStyle name="Normal 7 2 4 2 3 3" xfId="998"/>
    <cellStyle name="Normal 7 2 4 2 4" xfId="480"/>
    <cellStyle name="Normal 7 2 4 2 4 2" xfId="1000"/>
    <cellStyle name="Normal 7 2 4 2 5" xfId="995"/>
    <cellStyle name="Normal 7 2 4 3" xfId="481"/>
    <cellStyle name="Normal 7 2 4 3 2" xfId="482"/>
    <cellStyle name="Normal 7 2 4 3 2 2" xfId="1002"/>
    <cellStyle name="Normal 7 2 4 3 3" xfId="1001"/>
    <cellStyle name="Normal 7 2 4 4" xfId="483"/>
    <cellStyle name="Normal 7 2 4 4 2" xfId="484"/>
    <cellStyle name="Normal 7 2 4 4 2 2" xfId="1004"/>
    <cellStyle name="Normal 7 2 4 4 3" xfId="1003"/>
    <cellStyle name="Normal 7 2 4 5" xfId="485"/>
    <cellStyle name="Normal 7 2 4 5 2" xfId="1005"/>
    <cellStyle name="Normal 7 2 4 6" xfId="994"/>
    <cellStyle name="Normal 7 2 5" xfId="486"/>
    <cellStyle name="Normal 7 2 5 2" xfId="487"/>
    <cellStyle name="Normal 7 2 5 2 2" xfId="488"/>
    <cellStyle name="Normal 7 2 5 2 2 2" xfId="1008"/>
    <cellStyle name="Normal 7 2 5 2 3" xfId="1007"/>
    <cellStyle name="Normal 7 2 5 3" xfId="489"/>
    <cellStyle name="Normal 7 2 5 3 2" xfId="490"/>
    <cellStyle name="Normal 7 2 5 3 2 2" xfId="1010"/>
    <cellStyle name="Normal 7 2 5 3 3" xfId="1009"/>
    <cellStyle name="Normal 7 2 5 4" xfId="491"/>
    <cellStyle name="Normal 7 2 5 4 2" xfId="1011"/>
    <cellStyle name="Normal 7 2 5 5" xfId="1006"/>
    <cellStyle name="Normal 7 2 6" xfId="492"/>
    <cellStyle name="Normal 7 2 6 2" xfId="493"/>
    <cellStyle name="Normal 7 2 6 2 2" xfId="1013"/>
    <cellStyle name="Normal 7 2 6 3" xfId="1012"/>
    <cellStyle name="Normal 7 2 7" xfId="494"/>
    <cellStyle name="Normal 7 2 7 2" xfId="495"/>
    <cellStyle name="Normal 7 2 7 2 2" xfId="1015"/>
    <cellStyle name="Normal 7 2 7 3" xfId="1014"/>
    <cellStyle name="Normal 7 2 8" xfId="496"/>
    <cellStyle name="Normal 7 2 8 2" xfId="1016"/>
    <cellStyle name="Normal 7 2 9" xfId="497"/>
    <cellStyle name="Normal 7 2 9 2" xfId="1017"/>
    <cellStyle name="Normal 7 3" xfId="498"/>
    <cellStyle name="Normal 7 3 2" xfId="499"/>
    <cellStyle name="Normal 7 3 2 2" xfId="500"/>
    <cellStyle name="Normal 7 3 2 2 2" xfId="501"/>
    <cellStyle name="Normal 7 3 2 2 2 2" xfId="1021"/>
    <cellStyle name="Normal 7 3 2 2 3" xfId="1020"/>
    <cellStyle name="Normal 7 3 2 3" xfId="502"/>
    <cellStyle name="Normal 7 3 2 3 2" xfId="503"/>
    <cellStyle name="Normal 7 3 2 3 2 2" xfId="1023"/>
    <cellStyle name="Normal 7 3 2 3 3" xfId="1022"/>
    <cellStyle name="Normal 7 3 2 4" xfId="504"/>
    <cellStyle name="Normal 7 3 2 4 2" xfId="1024"/>
    <cellStyle name="Normal 7 3 2 5" xfId="1019"/>
    <cellStyle name="Normal 7 3 3" xfId="505"/>
    <cellStyle name="Normal 7 3 3 2" xfId="506"/>
    <cellStyle name="Normal 7 3 3 2 2" xfId="1026"/>
    <cellStyle name="Normal 7 3 3 3" xfId="1025"/>
    <cellStyle name="Normal 7 3 4" xfId="507"/>
    <cellStyle name="Normal 7 3 4 2" xfId="508"/>
    <cellStyle name="Normal 7 3 4 2 2" xfId="1028"/>
    <cellStyle name="Normal 7 3 4 3" xfId="1027"/>
    <cellStyle name="Normal 7 3 5" xfId="509"/>
    <cellStyle name="Normal 7 3 5 2" xfId="1029"/>
    <cellStyle name="Normal 7 3 6" xfId="510"/>
    <cellStyle name="Normal 7 3 6 2" xfId="1030"/>
    <cellStyle name="Normal 7 3 7" xfId="1018"/>
    <cellStyle name="Normal 7 4" xfId="511"/>
    <cellStyle name="Normal 7 4 2" xfId="512"/>
    <cellStyle name="Normal 7 4 2 2" xfId="513"/>
    <cellStyle name="Normal 7 4 2 2 2" xfId="514"/>
    <cellStyle name="Normal 7 4 2 2 2 2" xfId="1034"/>
    <cellStyle name="Normal 7 4 2 2 3" xfId="1033"/>
    <cellStyle name="Normal 7 4 2 3" xfId="515"/>
    <cellStyle name="Normal 7 4 2 3 2" xfId="516"/>
    <cellStyle name="Normal 7 4 2 3 2 2" xfId="1036"/>
    <cellStyle name="Normal 7 4 2 3 3" xfId="1035"/>
    <cellStyle name="Normal 7 4 2 4" xfId="517"/>
    <cellStyle name="Normal 7 4 2 4 2" xfId="1037"/>
    <cellStyle name="Normal 7 4 2 5" xfId="1032"/>
    <cellStyle name="Normal 7 4 3" xfId="518"/>
    <cellStyle name="Normal 7 4 3 2" xfId="519"/>
    <cellStyle name="Normal 7 4 3 2 2" xfId="1039"/>
    <cellStyle name="Normal 7 4 3 3" xfId="1038"/>
    <cellStyle name="Normal 7 4 4" xfId="520"/>
    <cellStyle name="Normal 7 4 4 2" xfId="521"/>
    <cellStyle name="Normal 7 4 4 2 2" xfId="1041"/>
    <cellStyle name="Normal 7 4 4 3" xfId="1040"/>
    <cellStyle name="Normal 7 4 5" xfId="522"/>
    <cellStyle name="Normal 7 4 5 2" xfId="1042"/>
    <cellStyle name="Normal 7 4 6" xfId="1031"/>
    <cellStyle name="Normal 7 5" xfId="523"/>
    <cellStyle name="Normal 7 5 2" xfId="524"/>
    <cellStyle name="Normal 7 5 2 2" xfId="525"/>
    <cellStyle name="Normal 7 5 2 2 2" xfId="1045"/>
    <cellStyle name="Normal 7 5 2 3" xfId="1044"/>
    <cellStyle name="Normal 7 5 3" xfId="526"/>
    <cellStyle name="Normal 7 5 3 2" xfId="527"/>
    <cellStyle name="Normal 7 5 3 2 2" xfId="1047"/>
    <cellStyle name="Normal 7 5 3 3" xfId="1046"/>
    <cellStyle name="Normal 7 5 4" xfId="528"/>
    <cellStyle name="Normal 7 5 4 2" xfId="1048"/>
    <cellStyle name="Normal 7 5 5" xfId="1043"/>
    <cellStyle name="Normal 7 6" xfId="529"/>
    <cellStyle name="Normal 7 6 2" xfId="530"/>
    <cellStyle name="Normal 7 6 2 2" xfId="1050"/>
    <cellStyle name="Normal 7 6 3" xfId="1049"/>
    <cellStyle name="Normal 7 7" xfId="531"/>
    <cellStyle name="Normal 7 7 2" xfId="532"/>
    <cellStyle name="Normal 7 7 2 2" xfId="1052"/>
    <cellStyle name="Normal 7 7 3" xfId="1051"/>
    <cellStyle name="Normal 7 8" xfId="533"/>
    <cellStyle name="Normal 7 8 2" xfId="1053"/>
    <cellStyle name="Normal 7 9" xfId="534"/>
    <cellStyle name="Normal 7 9 2" xfId="1054"/>
    <cellStyle name="Normal 8" xfId="535"/>
    <cellStyle name="Normal 8 10" xfId="1055"/>
    <cellStyle name="Normal 8 2" xfId="536"/>
    <cellStyle name="Normal 8 2 2" xfId="537"/>
    <cellStyle name="Normal 8 2 2 2" xfId="538"/>
    <cellStyle name="Normal 8 2 2 2 2" xfId="1058"/>
    <cellStyle name="Normal 8 2 2 3" xfId="1057"/>
    <cellStyle name="Normal 8 2 3" xfId="539"/>
    <cellStyle name="Normal 8 2 3 2" xfId="540"/>
    <cellStyle name="Normal 8 2 3 2 2" xfId="1060"/>
    <cellStyle name="Normal 8 2 3 3" xfId="1059"/>
    <cellStyle name="Normal 8 2 4" xfId="541"/>
    <cellStyle name="Normal 8 2 4 2" xfId="1061"/>
    <cellStyle name="Normal 8 2 5" xfId="542"/>
    <cellStyle name="Normal 8 2 6" xfId="1056"/>
    <cellStyle name="Normal 8 3" xfId="543"/>
    <cellStyle name="Normal 8 3 2" xfId="544"/>
    <cellStyle name="Normal 8 3 2 2" xfId="1063"/>
    <cellStyle name="Normal 8 3 3" xfId="1062"/>
    <cellStyle name="Normal 8 4" xfId="545"/>
    <cellStyle name="Normal 8 4 2" xfId="546"/>
    <cellStyle name="Normal 8 4 2 2" xfId="1065"/>
    <cellStyle name="Normal 8 4 3" xfId="1064"/>
    <cellStyle name="Normal 8 5" xfId="547"/>
    <cellStyle name="Normal 8 5 2" xfId="1066"/>
    <cellStyle name="Normal 8 6" xfId="548"/>
    <cellStyle name="Normal 8 6 2" xfId="549"/>
    <cellStyle name="Normal 8 7" xfId="550"/>
    <cellStyle name="Normal 8 8" xfId="551"/>
    <cellStyle name="Normal 8 9" xfId="552"/>
    <cellStyle name="Normal 8 9 2" xfId="559"/>
    <cellStyle name="Normal 8 9 2 2" xfId="1070"/>
    <cellStyle name="Normal 8 9 3" xfId="1067"/>
    <cellStyle name="Normal 9" xfId="553"/>
    <cellStyle name="Normal 9 2" xfId="554"/>
    <cellStyle name="Percent 2" xfId="555"/>
    <cellStyle name="Percent 3" xfId="55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1619250</xdr:colOff>
      <xdr:row>54</xdr:row>
      <xdr:rowOff>19050</xdr:rowOff>
    </xdr:from>
    <xdr:to>
      <xdr:col>1</xdr:col>
      <xdr:colOff>1695450</xdr:colOff>
      <xdr:row>55</xdr:row>
      <xdr:rowOff>142875</xdr:rowOff>
    </xdr:to>
    <xdr:sp macro="" textlink="">
      <xdr:nvSpPr>
        <xdr:cNvPr id="2" name="AutoShape 10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>
          <a:spLocks/>
        </xdr:cNvSpPr>
      </xdr:nvSpPr>
      <xdr:spPr bwMode="auto">
        <a:xfrm>
          <a:off x="2028825" y="9563100"/>
          <a:ext cx="76200" cy="285750"/>
        </a:xfrm>
        <a:prstGeom prst="rightBrace">
          <a:avLst>
            <a:gd name="adj1" fmla="val 312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1619250</xdr:colOff>
      <xdr:row>54</xdr:row>
      <xdr:rowOff>19050</xdr:rowOff>
    </xdr:from>
    <xdr:to>
      <xdr:col>1</xdr:col>
      <xdr:colOff>1695450</xdr:colOff>
      <xdr:row>55</xdr:row>
      <xdr:rowOff>142875</xdr:rowOff>
    </xdr:to>
    <xdr:sp macro="" textlink="">
      <xdr:nvSpPr>
        <xdr:cNvPr id="2" name="AutoShape 10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>
          <a:spLocks/>
        </xdr:cNvSpPr>
      </xdr:nvSpPr>
      <xdr:spPr bwMode="auto">
        <a:xfrm>
          <a:off x="2028825" y="7724775"/>
          <a:ext cx="76200" cy="285750"/>
        </a:xfrm>
        <a:prstGeom prst="rightBrace">
          <a:avLst>
            <a:gd name="adj1" fmla="val 3125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39.16.45/shobha%20pc%2040/d/Shobha/projects/Annual%20Plan%20Outlay/Annual%20Plan%2016-17/Annual_Plan_2016-17_-Finalise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139.16.62/Users/HDADMIN/Desktop/Annual%20Plan%202018-19/Annexure%20for%20BSC%20agenda-R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Appendix 1"/>
      <sheetName val="Appendix 2"/>
      <sheetName val="Appendix 3"/>
      <sheetName val="Annexure to Appendix 3-3.1"/>
      <sheetName val="Appendix_4"/>
      <sheetName val="Appendix_5"/>
      <sheetName val="R_1"/>
      <sheetName val="R_2"/>
      <sheetName val="R_3"/>
      <sheetName val="Expansion Plan"/>
      <sheetName val="MOD _ 1"/>
      <sheetName val="MOD_ 2"/>
      <sheetName val="MOD 3"/>
      <sheetName val="MOD _R1"/>
      <sheetName val="MOD R_2"/>
      <sheetName val="MOD R3"/>
      <sheetName val="Pivot Tab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D2" t="str">
            <v>ANNUAL PLAN 2016-17</v>
          </cell>
        </row>
        <row r="3">
          <cell r="D3" t="str">
            <v>SUMMARY OF EXPANSION PLAN</v>
          </cell>
        </row>
        <row r="5">
          <cell r="A5" t="str">
            <v>PLANT : VISVESVARAYA  IRON  &amp;  STEEL  PLANT   BHADRAVATI</v>
          </cell>
        </row>
        <row r="6">
          <cell r="C6" t="str">
            <v>TOTAL COST</v>
          </cell>
        </row>
        <row r="7">
          <cell r="A7" t="str">
            <v>S.NO.</v>
          </cell>
          <cell r="B7" t="str">
            <v>SCHEME</v>
          </cell>
          <cell r="C7" t="str">
            <v>LATEST</v>
          </cell>
          <cell r="D7" t="str">
            <v>CENVAT</v>
          </cell>
        </row>
        <row r="8">
          <cell r="C8" t="str">
            <v>APPVD.</v>
          </cell>
          <cell r="D8" t="str">
            <v>AMOUNT</v>
          </cell>
        </row>
        <row r="9">
          <cell r="C9" t="str">
            <v>(FE)</v>
          </cell>
        </row>
        <row r="11">
          <cell r="A11">
            <v>1</v>
          </cell>
          <cell r="B11">
            <v>2</v>
          </cell>
          <cell r="C11" t="str">
            <v>3.</v>
          </cell>
          <cell r="D11">
            <v>4</v>
          </cell>
        </row>
        <row r="13">
          <cell r="A13" t="str">
            <v>A</v>
          </cell>
          <cell r="B13" t="str">
            <v>COMPLETED PACKAGES</v>
          </cell>
        </row>
        <row r="14">
          <cell r="B14" t="str">
            <v>Main Packages</v>
          </cell>
        </row>
        <row r="16">
          <cell r="B16" t="str">
            <v>Enabling/Auxuilary Packages</v>
          </cell>
        </row>
        <row r="19">
          <cell r="B19" t="str">
            <v xml:space="preserve">Sub Total     A </v>
          </cell>
        </row>
        <row r="20">
          <cell r="A20" t="str">
            <v>B</v>
          </cell>
          <cell r="B20" t="str">
            <v>ONGOING PACKAGES</v>
          </cell>
        </row>
        <row r="21">
          <cell r="B21" t="str">
            <v>Main Packages</v>
          </cell>
        </row>
        <row r="23">
          <cell r="B23" t="str">
            <v>Enabling/Auxuilary Packages</v>
          </cell>
        </row>
        <row r="24">
          <cell r="B24" t="str">
            <v>Sub Total     B</v>
          </cell>
        </row>
        <row r="25">
          <cell r="A25" t="str">
            <v>C</v>
          </cell>
          <cell r="B25" t="str">
            <v>UNSANCTIONED PACKAGES</v>
          </cell>
        </row>
        <row r="26">
          <cell r="B26" t="str">
            <v>Main Packages</v>
          </cell>
        </row>
        <row r="28">
          <cell r="B28" t="str">
            <v>Enabling/Auxuilary Packages</v>
          </cell>
        </row>
        <row r="31">
          <cell r="B31" t="str">
            <v>Sub Total     C</v>
          </cell>
        </row>
        <row r="32">
          <cell r="B32" t="str">
            <v>TOTAL (A+B+C)</v>
          </cell>
        </row>
        <row r="34">
          <cell r="B34" t="str">
            <v>FE Component may be given in '( )' as per format .</v>
          </cell>
        </row>
        <row r="35">
          <cell r="B35" t="str">
            <v>Total Expenditure should be on Gross Basis i.e without considering CENVAT benefits</v>
          </cell>
        </row>
      </sheetData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reak-up"/>
      <sheetName val="Summary"/>
      <sheetName val="BSP (2)"/>
      <sheetName val="DSP (2)"/>
      <sheetName val="RSP- revised "/>
      <sheetName val="BSL (2)"/>
      <sheetName val="ISP (2)"/>
      <sheetName val="ASP"/>
      <sheetName val="VISL revised (2)"/>
      <sheetName val="RMD  (2)"/>
      <sheetName val="CU"/>
      <sheetName val="SSP Revised (2)"/>
      <sheetName val="CFP revised (2)"/>
    </sheetNames>
    <sheetDataSet>
      <sheetData sheetId="0" refreshError="1"/>
      <sheetData sheetId="1" refreshError="1"/>
      <sheetData sheetId="2" refreshError="1">
        <row r="26">
          <cell r="H26">
            <v>18646.087630649035</v>
          </cell>
          <cell r="I26">
            <v>1336.1</v>
          </cell>
          <cell r="J26">
            <v>1830.0853</v>
          </cell>
        </row>
      </sheetData>
      <sheetData sheetId="3" refreshError="1">
        <row r="18">
          <cell r="G18">
            <v>103.44</v>
          </cell>
          <cell r="I18">
            <v>30</v>
          </cell>
          <cell r="J18">
            <v>79.169999999999987</v>
          </cell>
        </row>
      </sheetData>
      <sheetData sheetId="4" refreshError="1">
        <row r="20">
          <cell r="G20">
            <v>1566.7400000000002</v>
          </cell>
          <cell r="I20">
            <v>458.5</v>
          </cell>
          <cell r="J20">
            <v>673.94</v>
          </cell>
        </row>
      </sheetData>
      <sheetData sheetId="5" refreshError="1">
        <row r="34">
          <cell r="G34">
            <v>1027.72</v>
          </cell>
          <cell r="I34">
            <v>299.77</v>
          </cell>
          <cell r="J34">
            <v>522.42000000000007</v>
          </cell>
        </row>
      </sheetData>
      <sheetData sheetId="6" refreshError="1">
        <row r="18">
          <cell r="G18">
            <v>6.19</v>
          </cell>
          <cell r="I18">
            <v>10</v>
          </cell>
          <cell r="J18">
            <v>19.239999999999998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>
        <row r="17">
          <cell r="H17">
            <v>5.92</v>
          </cell>
          <cell r="J17">
            <v>6</v>
          </cell>
          <cell r="K17">
            <v>7.14</v>
          </cell>
        </row>
      </sheetData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=@if(F30%3eI30,1,0)" TargetMode="External"/><Relationship Id="rId3" Type="http://schemas.openxmlformats.org/officeDocument/2006/relationships/hyperlink" Target="mailto:=@if(F30%3eI30,1,0)" TargetMode="External"/><Relationship Id="rId7" Type="http://schemas.openxmlformats.org/officeDocument/2006/relationships/hyperlink" Target="mailto:=@if(F30%3eI30,1,0)" TargetMode="External"/><Relationship Id="rId2" Type="http://schemas.openxmlformats.org/officeDocument/2006/relationships/hyperlink" Target="mailto:=@if(F30%3eI30,1,0)" TargetMode="External"/><Relationship Id="rId1" Type="http://schemas.openxmlformats.org/officeDocument/2006/relationships/hyperlink" Target="mailto:=@if(F30%3eI30,1,0)" TargetMode="External"/><Relationship Id="rId6" Type="http://schemas.openxmlformats.org/officeDocument/2006/relationships/hyperlink" Target="mailto:=@if(F30%3eI30,1,0)" TargetMode="External"/><Relationship Id="rId5" Type="http://schemas.openxmlformats.org/officeDocument/2006/relationships/hyperlink" Target="mailto:=@if(F30%3eI30,1,0)" TargetMode="External"/><Relationship Id="rId4" Type="http://schemas.openxmlformats.org/officeDocument/2006/relationships/hyperlink" Target="mailto:=@if(F30%3eI30,1,0)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3">
    <pageSetUpPr fitToPage="1"/>
  </sheetPr>
  <dimension ref="A1:N237"/>
  <sheetViews>
    <sheetView zoomScale="115" zoomScaleNormal="115" workbookViewId="0">
      <pane xSplit="2" ySplit="7" topLeftCell="C38" activePane="bottomRight" state="frozen"/>
      <selection pane="topRight" activeCell="C1" sqref="C1"/>
      <selection pane="bottomLeft" activeCell="A8" sqref="A8"/>
      <selection pane="bottomRight" activeCell="E41" sqref="E41"/>
    </sheetView>
  </sheetViews>
  <sheetFormatPr defaultColWidth="9.42578125" defaultRowHeight="12.75"/>
  <cols>
    <col min="1" max="1" width="5.42578125" style="31" customWidth="1"/>
    <col min="2" max="2" width="34.42578125" style="3" customWidth="1"/>
    <col min="3" max="3" width="11.42578125" style="4" customWidth="1"/>
    <col min="4" max="4" width="12" style="4" customWidth="1"/>
    <col min="5" max="5" width="11.42578125" style="5" customWidth="1"/>
    <col min="6" max="7" width="11.42578125" style="6" customWidth="1"/>
    <col min="8" max="9" width="10.42578125" style="4" customWidth="1"/>
    <col min="10" max="10" width="10.42578125" style="4" hidden="1" customWidth="1"/>
    <col min="11" max="11" width="13.42578125" style="4" hidden="1" customWidth="1"/>
    <col min="12" max="12" width="10.42578125" style="4" hidden="1" customWidth="1"/>
    <col min="13" max="13" width="13" style="4" hidden="1" customWidth="1"/>
    <col min="14" max="14" width="16.42578125" style="6" customWidth="1"/>
    <col min="15" max="16384" width="9.42578125" style="3"/>
  </cols>
  <sheetData>
    <row r="1" spans="1:14">
      <c r="A1" s="2"/>
      <c r="F1" s="5"/>
      <c r="G1" s="5"/>
      <c r="N1" s="5" t="s">
        <v>137</v>
      </c>
    </row>
    <row r="2" spans="1:14">
      <c r="A2" s="688" t="s">
        <v>89</v>
      </c>
      <c r="B2" s="688"/>
      <c r="C2" s="688"/>
      <c r="D2" s="688"/>
      <c r="E2" s="688"/>
      <c r="F2" s="688"/>
      <c r="G2" s="688"/>
      <c r="H2" s="688"/>
      <c r="I2" s="688"/>
      <c r="J2" s="688"/>
      <c r="K2" s="688"/>
      <c r="L2" s="688"/>
      <c r="M2" s="688"/>
      <c r="N2" s="688"/>
    </row>
    <row r="3" spans="1:14">
      <c r="A3" s="689" t="s">
        <v>90</v>
      </c>
      <c r="B3" s="689"/>
      <c r="C3" s="689"/>
      <c r="D3" s="689"/>
      <c r="E3" s="689"/>
      <c r="F3" s="689"/>
      <c r="G3" s="689"/>
      <c r="H3" s="689"/>
      <c r="I3" s="689"/>
      <c r="J3" s="689"/>
      <c r="K3" s="689"/>
      <c r="L3" s="689"/>
      <c r="M3" s="689"/>
      <c r="N3" s="689"/>
    </row>
    <row r="4" spans="1:14">
      <c r="A4" s="7"/>
      <c r="B4" s="8"/>
      <c r="C4" s="5"/>
      <c r="D4" s="5"/>
      <c r="F4" s="5"/>
      <c r="G4" s="5"/>
      <c r="H4" s="5"/>
      <c r="I4" s="5"/>
      <c r="J4" s="5"/>
      <c r="K4" s="5"/>
      <c r="L4" s="5"/>
      <c r="M4" s="5"/>
      <c r="N4" s="5" t="s">
        <v>91</v>
      </c>
    </row>
    <row r="5" spans="1:14" s="4" customFormat="1" ht="45" customHeight="1">
      <c r="A5" s="9" t="s">
        <v>67</v>
      </c>
      <c r="B5" s="9" t="s">
        <v>92</v>
      </c>
      <c r="C5" s="10" t="s">
        <v>48</v>
      </c>
      <c r="D5" s="10" t="s">
        <v>47</v>
      </c>
      <c r="E5" s="10" t="s">
        <v>46</v>
      </c>
      <c r="F5" s="11" t="s">
        <v>93</v>
      </c>
      <c r="G5" s="11" t="s">
        <v>136</v>
      </c>
      <c r="H5" s="10" t="s">
        <v>69</v>
      </c>
      <c r="I5" s="10" t="s">
        <v>79</v>
      </c>
      <c r="J5" s="10" t="s">
        <v>80</v>
      </c>
      <c r="K5" s="10" t="s">
        <v>81</v>
      </c>
      <c r="L5" s="10" t="s">
        <v>82</v>
      </c>
      <c r="M5" s="10" t="s">
        <v>94</v>
      </c>
      <c r="N5" s="12" t="s">
        <v>147</v>
      </c>
    </row>
    <row r="6" spans="1:14" s="4" customFormat="1">
      <c r="A6" s="9"/>
      <c r="B6" s="9"/>
      <c r="C6" s="10" t="s">
        <v>44</v>
      </c>
      <c r="D6" s="10" t="s">
        <v>66</v>
      </c>
      <c r="E6" s="10" t="s">
        <v>43</v>
      </c>
      <c r="F6" s="10"/>
      <c r="G6" s="10"/>
      <c r="H6" s="13" t="s">
        <v>42</v>
      </c>
      <c r="I6" s="13" t="s">
        <v>38</v>
      </c>
      <c r="J6" s="13" t="s">
        <v>64</v>
      </c>
      <c r="K6" s="13" t="s">
        <v>64</v>
      </c>
      <c r="L6" s="13" t="s">
        <v>64</v>
      </c>
      <c r="M6" s="13" t="s">
        <v>124</v>
      </c>
      <c r="N6" s="1"/>
    </row>
    <row r="7" spans="1:14" s="4" customFormat="1">
      <c r="A7" s="9"/>
      <c r="B7" s="14"/>
      <c r="C7" s="10"/>
      <c r="D7" s="10"/>
      <c r="E7" s="10" t="s">
        <v>78</v>
      </c>
      <c r="F7" s="10" t="s">
        <v>123</v>
      </c>
      <c r="G7" s="10"/>
      <c r="H7" s="10"/>
      <c r="I7" s="10"/>
      <c r="J7" s="10"/>
      <c r="K7" s="10"/>
      <c r="L7" s="10"/>
      <c r="M7" s="10"/>
      <c r="N7" s="1"/>
    </row>
    <row r="8" spans="1:14" s="17" customFormat="1">
      <c r="A8" s="9">
        <v>1</v>
      </c>
      <c r="B8" s="15" t="s">
        <v>96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</row>
    <row r="9" spans="1:14" s="17" customFormat="1">
      <c r="A9" s="18">
        <v>1.1000000000000001</v>
      </c>
      <c r="B9" s="19" t="s">
        <v>97</v>
      </c>
      <c r="C9" s="20" t="e">
        <f>#REF!</f>
        <v>#REF!</v>
      </c>
      <c r="D9" s="20" t="e">
        <f>#REF!</f>
        <v>#REF!</v>
      </c>
      <c r="E9" s="20" t="e">
        <f>#REF!</f>
        <v>#REF!</v>
      </c>
      <c r="F9" s="20" t="e">
        <f>D9-E9</f>
        <v>#REF!</v>
      </c>
      <c r="G9" s="52" t="e">
        <f>#REF!</f>
        <v>#REF!</v>
      </c>
      <c r="H9" s="20" t="e">
        <f>#REF!</f>
        <v>#REF!</v>
      </c>
      <c r="I9" s="20" t="e">
        <f>#REF!</f>
        <v>#REF!</v>
      </c>
      <c r="J9" s="20"/>
      <c r="K9" s="20"/>
      <c r="L9" s="20"/>
      <c r="M9" s="20"/>
      <c r="N9" s="20" t="e">
        <f>F9-(H9+I9)</f>
        <v>#REF!</v>
      </c>
    </row>
    <row r="10" spans="1:14" s="17" customFormat="1">
      <c r="A10" s="18">
        <v>1.2</v>
      </c>
      <c r="B10" s="19" t="s">
        <v>98</v>
      </c>
      <c r="C10" s="20" t="e">
        <f>#REF!</f>
        <v>#REF!</v>
      </c>
      <c r="D10" s="20" t="e">
        <f>#REF!</f>
        <v>#REF!</v>
      </c>
      <c r="E10" s="20" t="e">
        <f>#REF!</f>
        <v>#REF!</v>
      </c>
      <c r="F10" s="20" t="e">
        <f>D10-E10</f>
        <v>#REF!</v>
      </c>
      <c r="G10" s="52" t="e">
        <f>#REF!</f>
        <v>#REF!</v>
      </c>
      <c r="H10" s="20" t="e">
        <f>#REF!</f>
        <v>#REF!</v>
      </c>
      <c r="I10" s="20" t="e">
        <f>#REF!</f>
        <v>#REF!</v>
      </c>
      <c r="J10" s="20"/>
      <c r="K10" s="20"/>
      <c r="L10" s="20"/>
      <c r="M10" s="20"/>
      <c r="N10" s="20" t="e">
        <f>F10-(H10+I10)</f>
        <v>#REF!</v>
      </c>
    </row>
    <row r="11" spans="1:14" s="17" customFormat="1">
      <c r="A11" s="18"/>
      <c r="B11" s="16" t="s">
        <v>99</v>
      </c>
      <c r="C11" s="21" t="e">
        <f>SUM(C9:C10)</f>
        <v>#REF!</v>
      </c>
      <c r="D11" s="21" t="e">
        <f>SUM(D9:D10)</f>
        <v>#REF!</v>
      </c>
      <c r="E11" s="21" t="e">
        <f>SUM(E9:E10)</f>
        <v>#REF!</v>
      </c>
      <c r="F11" s="21" t="e">
        <f>SUM(F9:F10)</f>
        <v>#REF!</v>
      </c>
      <c r="G11" s="53" t="e">
        <f>SUM(G9:G10)</f>
        <v>#REF!</v>
      </c>
      <c r="H11" s="21" t="e">
        <f>#N/A</f>
        <v>#N/A</v>
      </c>
      <c r="I11" s="21" t="e">
        <f>#N/A</f>
        <v>#N/A</v>
      </c>
      <c r="J11" s="21" t="e">
        <f>#N/A</f>
        <v>#N/A</v>
      </c>
      <c r="K11" s="21" t="e">
        <f>#N/A</f>
        <v>#N/A</v>
      </c>
      <c r="L11" s="21" t="e">
        <f>#N/A</f>
        <v>#N/A</v>
      </c>
      <c r="M11" s="21" t="e">
        <f>#N/A</f>
        <v>#N/A</v>
      </c>
      <c r="N11" s="21" t="e">
        <f>SUM(N9:N10)</f>
        <v>#REF!</v>
      </c>
    </row>
    <row r="12" spans="1:14" s="17" customFormat="1">
      <c r="A12" s="9">
        <v>2</v>
      </c>
      <c r="B12" s="15" t="s">
        <v>100</v>
      </c>
      <c r="C12" s="22"/>
      <c r="D12" s="22"/>
      <c r="E12" s="22"/>
      <c r="F12" s="22"/>
      <c r="G12" s="54"/>
      <c r="H12" s="22"/>
      <c r="I12" s="22"/>
      <c r="J12" s="22"/>
      <c r="K12" s="22"/>
      <c r="L12" s="22"/>
      <c r="M12" s="22"/>
      <c r="N12" s="22"/>
    </row>
    <row r="13" spans="1:14" s="17" customFormat="1">
      <c r="A13" s="18">
        <v>2.1</v>
      </c>
      <c r="B13" s="19" t="s">
        <v>97</v>
      </c>
      <c r="C13" s="20" t="e">
        <f>#REF!</f>
        <v>#REF!</v>
      </c>
      <c r="D13" s="20" t="e">
        <f>#REF!</f>
        <v>#REF!</v>
      </c>
      <c r="E13" s="20" t="e">
        <f>#REF!</f>
        <v>#REF!</v>
      </c>
      <c r="F13" s="20" t="e">
        <f>D13-E13</f>
        <v>#REF!</v>
      </c>
      <c r="G13" s="52" t="e">
        <f>#REF!</f>
        <v>#REF!</v>
      </c>
      <c r="H13" s="20" t="e">
        <f>#REF!</f>
        <v>#REF!</v>
      </c>
      <c r="I13" s="20" t="e">
        <f>#REF!</f>
        <v>#REF!</v>
      </c>
      <c r="J13" s="20"/>
      <c r="K13" s="20"/>
      <c r="L13" s="20"/>
      <c r="M13" s="20"/>
      <c r="N13" s="20" t="e">
        <f>F13-(H13+I13)</f>
        <v>#REF!</v>
      </c>
    </row>
    <row r="14" spans="1:14" s="17" customFormat="1">
      <c r="A14" s="18">
        <v>2.2000000000000002</v>
      </c>
      <c r="B14" s="19" t="s">
        <v>98</v>
      </c>
      <c r="C14" s="20" t="e">
        <f>#REF!</f>
        <v>#REF!</v>
      </c>
      <c r="D14" s="20" t="e">
        <f>#REF!</f>
        <v>#REF!</v>
      </c>
      <c r="E14" s="20" t="e">
        <f>#REF!</f>
        <v>#REF!</v>
      </c>
      <c r="F14" s="20" t="e">
        <f>D14-E14</f>
        <v>#REF!</v>
      </c>
      <c r="G14" s="52" t="e">
        <f>#REF!</f>
        <v>#REF!</v>
      </c>
      <c r="H14" s="20" t="e">
        <f>#REF!</f>
        <v>#REF!</v>
      </c>
      <c r="I14" s="20" t="e">
        <f>#REF!</f>
        <v>#REF!</v>
      </c>
      <c r="J14" s="20"/>
      <c r="K14" s="20"/>
      <c r="L14" s="20"/>
      <c r="M14" s="20"/>
      <c r="N14" s="20" t="e">
        <f>F14-(H14+I14)</f>
        <v>#REF!</v>
      </c>
    </row>
    <row r="15" spans="1:14" s="17" customFormat="1">
      <c r="A15" s="18"/>
      <c r="B15" s="16" t="s">
        <v>101</v>
      </c>
      <c r="C15" s="21" t="e">
        <f>#N/A</f>
        <v>#N/A</v>
      </c>
      <c r="D15" s="21" t="e">
        <f>#N/A</f>
        <v>#N/A</v>
      </c>
      <c r="E15" s="21" t="e">
        <f>#N/A</f>
        <v>#N/A</v>
      </c>
      <c r="F15" s="21" t="e">
        <f>#N/A</f>
        <v>#N/A</v>
      </c>
      <c r="G15" s="53" t="e">
        <f>#N/A</f>
        <v>#N/A</v>
      </c>
      <c r="H15" s="21" t="e">
        <f>#N/A</f>
        <v>#N/A</v>
      </c>
      <c r="I15" s="21" t="e">
        <f>#N/A</f>
        <v>#N/A</v>
      </c>
      <c r="J15" s="21" t="e">
        <f>#N/A</f>
        <v>#N/A</v>
      </c>
      <c r="K15" s="21" t="e">
        <f>#N/A</f>
        <v>#N/A</v>
      </c>
      <c r="L15" s="21" t="e">
        <f>#N/A</f>
        <v>#N/A</v>
      </c>
      <c r="M15" s="21" t="e">
        <f>#N/A</f>
        <v>#N/A</v>
      </c>
      <c r="N15" s="20" t="e">
        <f>SUM(N13:N14)</f>
        <v>#REF!</v>
      </c>
    </row>
    <row r="16" spans="1:14" s="17" customFormat="1">
      <c r="A16" s="9">
        <v>3</v>
      </c>
      <c r="B16" s="15" t="s">
        <v>102</v>
      </c>
      <c r="C16" s="22"/>
      <c r="D16" s="22"/>
      <c r="E16" s="22"/>
      <c r="F16" s="22"/>
      <c r="G16" s="54"/>
      <c r="H16" s="22"/>
      <c r="I16" s="22"/>
      <c r="J16" s="22"/>
      <c r="K16" s="22"/>
      <c r="L16" s="22"/>
      <c r="M16" s="22"/>
      <c r="N16" s="22"/>
    </row>
    <row r="17" spans="1:14" s="25" customFormat="1">
      <c r="A17" s="18">
        <v>3.1</v>
      </c>
      <c r="B17" s="19" t="s">
        <v>97</v>
      </c>
      <c r="C17" s="20" t="e">
        <f>#REF!</f>
        <v>#REF!</v>
      </c>
      <c r="D17" s="20" t="e">
        <f>#REF!</f>
        <v>#REF!</v>
      </c>
      <c r="E17" s="20" t="e">
        <f>#REF!</f>
        <v>#REF!</v>
      </c>
      <c r="F17" s="20" t="e">
        <f>D17-E17</f>
        <v>#REF!</v>
      </c>
      <c r="G17" s="52" t="e">
        <f>#REF!</f>
        <v>#REF!</v>
      </c>
      <c r="H17" s="20" t="e">
        <f>#REF!</f>
        <v>#REF!</v>
      </c>
      <c r="I17" s="20" t="e">
        <f>#REF!</f>
        <v>#REF!</v>
      </c>
      <c r="J17" s="20"/>
      <c r="K17" s="20"/>
      <c r="L17" s="20"/>
      <c r="M17" s="20"/>
      <c r="N17" s="20" t="e">
        <f>F17-(H17+I17)</f>
        <v>#REF!</v>
      </c>
    </row>
    <row r="18" spans="1:14" s="25" customFormat="1">
      <c r="A18" s="18">
        <v>3.2</v>
      </c>
      <c r="B18" s="19" t="s">
        <v>98</v>
      </c>
      <c r="C18" s="20" t="e">
        <f>#REF!</f>
        <v>#REF!</v>
      </c>
      <c r="D18" s="20" t="e">
        <f>#REF!</f>
        <v>#REF!</v>
      </c>
      <c r="E18" s="20" t="e">
        <f>#REF!</f>
        <v>#REF!</v>
      </c>
      <c r="F18" s="20" t="e">
        <f>D18-E18</f>
        <v>#REF!</v>
      </c>
      <c r="G18" s="52" t="e">
        <f>#REF!</f>
        <v>#REF!</v>
      </c>
      <c r="H18" s="20" t="e">
        <f>#REF!</f>
        <v>#REF!</v>
      </c>
      <c r="I18" s="20" t="e">
        <f>#REF!</f>
        <v>#REF!</v>
      </c>
      <c r="J18" s="20"/>
      <c r="K18" s="20"/>
      <c r="L18" s="20"/>
      <c r="M18" s="20"/>
      <c r="N18" s="20" t="e">
        <f>F18-(H18+I18)</f>
        <v>#REF!</v>
      </c>
    </row>
    <row r="19" spans="1:14" s="17" customFormat="1">
      <c r="A19" s="9"/>
      <c r="B19" s="16" t="s">
        <v>103</v>
      </c>
      <c r="C19" s="21" t="e">
        <f>#N/A</f>
        <v>#N/A</v>
      </c>
      <c r="D19" s="21" t="e">
        <f>#N/A</f>
        <v>#N/A</v>
      </c>
      <c r="E19" s="21" t="e">
        <f>#N/A</f>
        <v>#N/A</v>
      </c>
      <c r="F19" s="21" t="e">
        <f>#N/A</f>
        <v>#N/A</v>
      </c>
      <c r="G19" s="53" t="e">
        <f>#N/A</f>
        <v>#N/A</v>
      </c>
      <c r="H19" s="21" t="e">
        <f>#N/A</f>
        <v>#N/A</v>
      </c>
      <c r="I19" s="21" t="e">
        <f>#N/A</f>
        <v>#N/A</v>
      </c>
      <c r="J19" s="21" t="e">
        <f>#N/A</f>
        <v>#N/A</v>
      </c>
      <c r="K19" s="21" t="e">
        <f>#N/A</f>
        <v>#N/A</v>
      </c>
      <c r="L19" s="21" t="e">
        <f>#N/A</f>
        <v>#N/A</v>
      </c>
      <c r="M19" s="21" t="e">
        <f>#N/A</f>
        <v>#N/A</v>
      </c>
      <c r="N19" s="20" t="e">
        <f>SUM(N17:N18)</f>
        <v>#REF!</v>
      </c>
    </row>
    <row r="20" spans="1:14" s="17" customFormat="1">
      <c r="A20" s="9">
        <v>4</v>
      </c>
      <c r="B20" s="15" t="s">
        <v>104</v>
      </c>
      <c r="C20" s="22"/>
      <c r="D20" s="22"/>
      <c r="E20" s="22"/>
      <c r="F20" s="22"/>
      <c r="G20" s="54"/>
      <c r="H20" s="22"/>
      <c r="I20" s="22"/>
      <c r="J20" s="22"/>
      <c r="K20" s="22"/>
      <c r="L20" s="22"/>
      <c r="M20" s="22"/>
      <c r="N20" s="20"/>
    </row>
    <row r="21" spans="1:14" s="17" customFormat="1">
      <c r="A21" s="18">
        <v>4.0999999999999996</v>
      </c>
      <c r="B21" s="19" t="s">
        <v>97</v>
      </c>
      <c r="C21" s="20" t="e">
        <f>#REF!+#REF!</f>
        <v>#REF!</v>
      </c>
      <c r="D21" s="20" t="e">
        <f>#REF!+#REF!</f>
        <v>#REF!</v>
      </c>
      <c r="E21" s="20" t="e">
        <f>#REF!+#REF!</f>
        <v>#REF!</v>
      </c>
      <c r="F21" s="20" t="e">
        <f>D21-E21</f>
        <v>#REF!</v>
      </c>
      <c r="G21" s="52" t="e">
        <f>#REF!+#REF!</f>
        <v>#REF!</v>
      </c>
      <c r="H21" s="20" t="e">
        <f>#REF!+#REF!</f>
        <v>#REF!</v>
      </c>
      <c r="I21" s="20" t="e">
        <f>#REF!+#REF!</f>
        <v>#REF!</v>
      </c>
      <c r="J21" s="20"/>
      <c r="K21" s="20"/>
      <c r="L21" s="20"/>
      <c r="M21" s="20"/>
      <c r="N21" s="20" t="e">
        <f>F21-(H21+I21)</f>
        <v>#REF!</v>
      </c>
    </row>
    <row r="22" spans="1:14" s="17" customFormat="1">
      <c r="A22" s="18">
        <v>4.2</v>
      </c>
      <c r="B22" s="19" t="s">
        <v>98</v>
      </c>
      <c r="C22" s="20" t="e">
        <f>#REF!+#REF!</f>
        <v>#REF!</v>
      </c>
      <c r="D22" s="20" t="e">
        <f>#REF!+#REF!</f>
        <v>#REF!</v>
      </c>
      <c r="E22" s="20" t="e">
        <f>#REF!+#REF!</f>
        <v>#REF!</v>
      </c>
      <c r="F22" s="20" t="e">
        <f>D22-E22</f>
        <v>#REF!</v>
      </c>
      <c r="G22" s="52" t="e">
        <f>#REF!+#REF!</f>
        <v>#REF!</v>
      </c>
      <c r="H22" s="20" t="e">
        <f>#REF!+#REF!</f>
        <v>#REF!</v>
      </c>
      <c r="I22" s="20" t="e">
        <f>#REF!+#REF!</f>
        <v>#REF!</v>
      </c>
      <c r="J22" s="20"/>
      <c r="K22" s="20"/>
      <c r="L22" s="20"/>
      <c r="M22" s="20"/>
      <c r="N22" s="20" t="e">
        <f>F22-(H22+I22)</f>
        <v>#REF!</v>
      </c>
    </row>
    <row r="23" spans="1:14" s="17" customFormat="1">
      <c r="A23" s="9"/>
      <c r="B23" s="16" t="s">
        <v>105</v>
      </c>
      <c r="C23" s="21" t="e">
        <f>SUM(C21:C22)</f>
        <v>#REF!</v>
      </c>
      <c r="D23" s="21" t="e">
        <f>#N/A</f>
        <v>#N/A</v>
      </c>
      <c r="E23" s="21" t="e">
        <f>#N/A</f>
        <v>#N/A</v>
      </c>
      <c r="F23" s="21" t="e">
        <f>#N/A</f>
        <v>#N/A</v>
      </c>
      <c r="G23" s="53" t="e">
        <f>#N/A</f>
        <v>#N/A</v>
      </c>
      <c r="H23" s="21" t="e">
        <f>#N/A</f>
        <v>#N/A</v>
      </c>
      <c r="I23" s="21" t="e">
        <f>#N/A</f>
        <v>#N/A</v>
      </c>
      <c r="J23" s="21" t="e">
        <f>#N/A</f>
        <v>#N/A</v>
      </c>
      <c r="K23" s="21">
        <f>SUM(K21:K22)</f>
        <v>0</v>
      </c>
      <c r="L23" s="21">
        <f>SUM(L21:L22)</f>
        <v>0</v>
      </c>
      <c r="M23" s="21">
        <f>SUM(M21:M22)</f>
        <v>0</v>
      </c>
      <c r="N23" s="20" t="e">
        <f>SUM(N21:N22)</f>
        <v>#REF!</v>
      </c>
    </row>
    <row r="24" spans="1:14" s="17" customFormat="1">
      <c r="A24" s="9">
        <v>5</v>
      </c>
      <c r="B24" s="15" t="s">
        <v>106</v>
      </c>
      <c r="C24" s="22"/>
      <c r="D24" s="22"/>
      <c r="E24" s="22"/>
      <c r="F24" s="22"/>
      <c r="G24" s="54"/>
      <c r="H24" s="22"/>
      <c r="I24" s="22"/>
      <c r="J24" s="22"/>
      <c r="K24" s="22"/>
      <c r="L24" s="22"/>
      <c r="M24" s="22"/>
      <c r="N24" s="22"/>
    </row>
    <row r="25" spans="1:14" s="24" customFormat="1">
      <c r="A25" s="18">
        <v>5.0999999999999996</v>
      </c>
      <c r="B25" s="19" t="s">
        <v>97</v>
      </c>
      <c r="C25" s="23" t="e">
        <f>#REF!</f>
        <v>#REF!</v>
      </c>
      <c r="D25" s="23" t="e">
        <f>#REF!</f>
        <v>#REF!</v>
      </c>
      <c r="E25" s="20" t="e">
        <f>#REF!</f>
        <v>#REF!</v>
      </c>
      <c r="F25" s="20" t="e">
        <f>D25-E25</f>
        <v>#REF!</v>
      </c>
      <c r="G25" s="52" t="e">
        <f>#REF!</f>
        <v>#REF!</v>
      </c>
      <c r="H25" s="23" t="e">
        <f>#REF!</f>
        <v>#REF!</v>
      </c>
      <c r="I25" s="23" t="e">
        <f>#REF!</f>
        <v>#REF!</v>
      </c>
      <c r="J25" s="23"/>
      <c r="K25" s="23"/>
      <c r="L25" s="23"/>
      <c r="M25" s="20"/>
      <c r="N25" s="20" t="e">
        <f>F25-(H25+I25)</f>
        <v>#REF!</v>
      </c>
    </row>
    <row r="26" spans="1:14" s="24" customFormat="1">
      <c r="A26" s="18">
        <v>5.2</v>
      </c>
      <c r="B26" s="19" t="s">
        <v>98</v>
      </c>
      <c r="C26" s="23" t="e">
        <f>#REF!</f>
        <v>#REF!</v>
      </c>
      <c r="D26" s="23" t="e">
        <f>#REF!</f>
        <v>#REF!</v>
      </c>
      <c r="E26" s="20" t="e">
        <f>#REF!</f>
        <v>#REF!</v>
      </c>
      <c r="F26" s="20" t="e">
        <f>D26-E26</f>
        <v>#REF!</v>
      </c>
      <c r="G26" s="52" t="e">
        <f>#REF!</f>
        <v>#REF!</v>
      </c>
      <c r="H26" s="23" t="e">
        <f>#REF!</f>
        <v>#REF!</v>
      </c>
      <c r="I26" s="23" t="e">
        <f>#REF!</f>
        <v>#REF!</v>
      </c>
      <c r="J26" s="23"/>
      <c r="K26" s="23"/>
      <c r="L26" s="23"/>
      <c r="M26" s="20"/>
      <c r="N26" s="20" t="e">
        <f>F26-(H26+I26)</f>
        <v>#REF!</v>
      </c>
    </row>
    <row r="27" spans="1:14" s="17" customFormat="1">
      <c r="A27" s="9"/>
      <c r="B27" s="16" t="s">
        <v>107</v>
      </c>
      <c r="C27" s="22" t="e">
        <f>#N/A</f>
        <v>#N/A</v>
      </c>
      <c r="D27" s="22" t="e">
        <f>#N/A</f>
        <v>#N/A</v>
      </c>
      <c r="E27" s="22" t="e">
        <f>#N/A</f>
        <v>#N/A</v>
      </c>
      <c r="F27" s="22" t="e">
        <f>#N/A</f>
        <v>#N/A</v>
      </c>
      <c r="G27" s="54" t="e">
        <f>#N/A</f>
        <v>#N/A</v>
      </c>
      <c r="H27" s="22" t="e">
        <f>#N/A</f>
        <v>#N/A</v>
      </c>
      <c r="I27" s="22" t="e">
        <f>#N/A</f>
        <v>#N/A</v>
      </c>
      <c r="J27" s="22" t="e">
        <f>#N/A</f>
        <v>#N/A</v>
      </c>
      <c r="K27" s="22" t="e">
        <f>#N/A</f>
        <v>#N/A</v>
      </c>
      <c r="L27" s="22" t="e">
        <f>#N/A</f>
        <v>#N/A</v>
      </c>
      <c r="M27" s="22" t="e">
        <f>#N/A</f>
        <v>#N/A</v>
      </c>
      <c r="N27" s="20" t="e">
        <f>SUM(N25:N26)</f>
        <v>#REF!</v>
      </c>
    </row>
    <row r="28" spans="1:14" s="17" customFormat="1">
      <c r="A28" s="9">
        <v>6</v>
      </c>
      <c r="B28" s="15" t="s">
        <v>130</v>
      </c>
      <c r="C28" s="22"/>
      <c r="D28" s="22"/>
      <c r="E28" s="22"/>
      <c r="F28" s="22"/>
      <c r="G28" s="54"/>
      <c r="H28" s="22"/>
      <c r="I28" s="22"/>
      <c r="J28" s="22"/>
      <c r="K28" s="22"/>
      <c r="L28" s="22"/>
      <c r="M28" s="22"/>
      <c r="N28" s="22"/>
    </row>
    <row r="29" spans="1:14">
      <c r="A29" s="18">
        <v>6.1</v>
      </c>
      <c r="B29" s="19" t="s">
        <v>97</v>
      </c>
      <c r="C29" s="23" t="e">
        <f>#REF!</f>
        <v>#REF!</v>
      </c>
      <c r="D29" s="23" t="e">
        <f>#REF!</f>
        <v>#REF!</v>
      </c>
      <c r="E29" s="20" t="e">
        <f>#REF!</f>
        <v>#REF!</v>
      </c>
      <c r="F29" s="20" t="e">
        <f>D29-E29</f>
        <v>#REF!</v>
      </c>
      <c r="G29" s="52" t="e">
        <f>#REF!</f>
        <v>#REF!</v>
      </c>
      <c r="H29" s="23" t="e">
        <f>#REF!</f>
        <v>#REF!</v>
      </c>
      <c r="I29" s="23" t="e">
        <f>#REF!</f>
        <v>#REF!</v>
      </c>
      <c r="J29" s="23"/>
      <c r="K29" s="23"/>
      <c r="L29" s="23"/>
      <c r="M29" s="20"/>
      <c r="N29" s="20" t="e">
        <f>F29-(H29+I29)</f>
        <v>#REF!</v>
      </c>
    </row>
    <row r="30" spans="1:14">
      <c r="A30" s="18">
        <v>6.2</v>
      </c>
      <c r="B30" s="19" t="s">
        <v>98</v>
      </c>
      <c r="C30" s="23" t="e">
        <f>#REF!</f>
        <v>#REF!</v>
      </c>
      <c r="D30" s="23" t="e">
        <f>#REF!</f>
        <v>#REF!</v>
      </c>
      <c r="E30" s="20" t="e">
        <f>#REF!</f>
        <v>#REF!</v>
      </c>
      <c r="F30" s="20" t="e">
        <f>D30-E30</f>
        <v>#REF!</v>
      </c>
      <c r="G30" s="52" t="e">
        <f>#REF!</f>
        <v>#REF!</v>
      </c>
      <c r="H30" s="23" t="e">
        <f>#REF!</f>
        <v>#REF!</v>
      </c>
      <c r="I30" s="23" t="e">
        <f>#REF!</f>
        <v>#REF!</v>
      </c>
      <c r="J30" s="23"/>
      <c r="K30" s="23"/>
      <c r="L30" s="23"/>
      <c r="M30" s="20"/>
      <c r="N30" s="20" t="e">
        <f>F30-(H30+I30)</f>
        <v>#REF!</v>
      </c>
    </row>
    <row r="31" spans="1:14" s="17" customFormat="1">
      <c r="A31" s="9"/>
      <c r="B31" s="16" t="s">
        <v>108</v>
      </c>
      <c r="C31" s="21" t="e">
        <f>C29+C30</f>
        <v>#REF!</v>
      </c>
      <c r="D31" s="21" t="e">
        <f>#N/A</f>
        <v>#N/A</v>
      </c>
      <c r="E31" s="21" t="e">
        <f>#N/A</f>
        <v>#N/A</v>
      </c>
      <c r="F31" s="21" t="e">
        <f>F29+F30</f>
        <v>#REF!</v>
      </c>
      <c r="G31" s="53" t="e">
        <f>#N/A</f>
        <v>#N/A</v>
      </c>
      <c r="H31" s="21" t="e">
        <f>#N/A</f>
        <v>#N/A</v>
      </c>
      <c r="I31" s="21" t="e">
        <f>#N/A</f>
        <v>#N/A</v>
      </c>
      <c r="J31" s="21" t="e">
        <f>#N/A</f>
        <v>#N/A</v>
      </c>
      <c r="K31" s="21" t="e">
        <f>#N/A</f>
        <v>#N/A</v>
      </c>
      <c r="L31" s="21" t="e">
        <f>#N/A</f>
        <v>#N/A</v>
      </c>
      <c r="M31" s="21">
        <f>M29+M30</f>
        <v>0</v>
      </c>
      <c r="N31" s="20" t="e">
        <f>SUM(N29:N30)</f>
        <v>#REF!</v>
      </c>
    </row>
    <row r="32" spans="1:14" s="17" customFormat="1">
      <c r="A32" s="9">
        <v>7</v>
      </c>
      <c r="B32" s="15" t="s">
        <v>131</v>
      </c>
      <c r="C32" s="22"/>
      <c r="D32" s="22"/>
      <c r="E32" s="22"/>
      <c r="F32" s="22"/>
      <c r="G32" s="54"/>
      <c r="H32" s="22"/>
      <c r="I32" s="22"/>
      <c r="J32" s="22"/>
      <c r="K32" s="22"/>
      <c r="L32" s="22"/>
      <c r="M32" s="22"/>
      <c r="N32" s="22"/>
    </row>
    <row r="33" spans="1:14">
      <c r="A33" s="18">
        <v>7.1</v>
      </c>
      <c r="B33" s="19" t="s">
        <v>97</v>
      </c>
      <c r="C33" s="23" t="e">
        <f>#REF!</f>
        <v>#REF!</v>
      </c>
      <c r="D33" s="23" t="e">
        <f>#REF!</f>
        <v>#REF!</v>
      </c>
      <c r="E33" s="20" t="e">
        <f>#REF!</f>
        <v>#REF!</v>
      </c>
      <c r="F33" s="20" t="e">
        <f>D33-E33</f>
        <v>#REF!</v>
      </c>
      <c r="G33" s="52" t="e">
        <f>#REF!</f>
        <v>#REF!</v>
      </c>
      <c r="H33" s="23" t="e">
        <f>#REF!</f>
        <v>#REF!</v>
      </c>
      <c r="I33" s="23" t="e">
        <f>#REF!</f>
        <v>#REF!</v>
      </c>
      <c r="J33" s="23"/>
      <c r="K33" s="23"/>
      <c r="L33" s="23"/>
      <c r="M33" s="20"/>
      <c r="N33" s="20" t="e">
        <f>F33-(H33+I33)</f>
        <v>#REF!</v>
      </c>
    </row>
    <row r="34" spans="1:14">
      <c r="A34" s="18">
        <v>7.2</v>
      </c>
      <c r="B34" s="19" t="s">
        <v>98</v>
      </c>
      <c r="C34" s="23" t="e">
        <f>#REF!</f>
        <v>#REF!</v>
      </c>
      <c r="D34" s="23" t="e">
        <f>#REF!</f>
        <v>#REF!</v>
      </c>
      <c r="E34" s="20" t="e">
        <f>#REF!</f>
        <v>#REF!</v>
      </c>
      <c r="F34" s="20" t="e">
        <f>D34-E34</f>
        <v>#REF!</v>
      </c>
      <c r="G34" s="52" t="e">
        <f>#REF!</f>
        <v>#REF!</v>
      </c>
      <c r="H34" s="23" t="e">
        <f>#REF!</f>
        <v>#REF!</v>
      </c>
      <c r="I34" s="23" t="e">
        <f>#REF!</f>
        <v>#REF!</v>
      </c>
      <c r="J34" s="23"/>
      <c r="K34" s="23"/>
      <c r="L34" s="23"/>
      <c r="M34" s="20"/>
      <c r="N34" s="20" t="e">
        <f>F34-(H34+I34)</f>
        <v>#REF!</v>
      </c>
    </row>
    <row r="35" spans="1:14" s="17" customFormat="1">
      <c r="A35" s="9"/>
      <c r="B35" s="16" t="s">
        <v>109</v>
      </c>
      <c r="C35" s="21" t="e">
        <f>C33+C34</f>
        <v>#REF!</v>
      </c>
      <c r="D35" s="21" t="e">
        <f>#N/A</f>
        <v>#N/A</v>
      </c>
      <c r="E35" s="21" t="e">
        <f>#N/A</f>
        <v>#N/A</v>
      </c>
      <c r="F35" s="21" t="e">
        <f>#N/A</f>
        <v>#N/A</v>
      </c>
      <c r="G35" s="53" t="e">
        <f>#N/A</f>
        <v>#N/A</v>
      </c>
      <c r="H35" s="21" t="e">
        <f>#REF!</f>
        <v>#REF!</v>
      </c>
      <c r="I35" s="21" t="e">
        <f>#N/A</f>
        <v>#N/A</v>
      </c>
      <c r="J35" s="21" t="e">
        <f>#N/A</f>
        <v>#N/A</v>
      </c>
      <c r="K35" s="21" t="e">
        <f>#N/A</f>
        <v>#N/A</v>
      </c>
      <c r="L35" s="21" t="e">
        <f>#N/A</f>
        <v>#N/A</v>
      </c>
      <c r="M35" s="21" t="e">
        <f>#N/A</f>
        <v>#N/A</v>
      </c>
      <c r="N35" s="20" t="e">
        <f>SUM(N33:N34)</f>
        <v>#REF!</v>
      </c>
    </row>
    <row r="36" spans="1:14" s="33" customFormat="1">
      <c r="A36" s="9">
        <v>8</v>
      </c>
      <c r="B36" s="15" t="s">
        <v>110</v>
      </c>
      <c r="C36" s="22"/>
      <c r="D36" s="22"/>
      <c r="E36" s="22"/>
      <c r="F36" s="20"/>
      <c r="G36" s="52"/>
      <c r="H36" s="22"/>
      <c r="I36" s="22"/>
      <c r="J36" s="22"/>
      <c r="K36" s="22"/>
      <c r="L36" s="22"/>
      <c r="M36" s="22"/>
      <c r="N36" s="22"/>
    </row>
    <row r="37" spans="1:14">
      <c r="A37" s="18">
        <v>8.1</v>
      </c>
      <c r="B37" s="19" t="s">
        <v>97</v>
      </c>
      <c r="C37" s="45" t="e">
        <f>#REF!</f>
        <v>#REF!</v>
      </c>
      <c r="D37" s="45" t="e">
        <f>#REF!</f>
        <v>#REF!</v>
      </c>
      <c r="E37" s="20" t="e">
        <f>#REF!</f>
        <v>#REF!</v>
      </c>
      <c r="F37" s="20" t="e">
        <f>D37-E37</f>
        <v>#REF!</v>
      </c>
      <c r="G37" s="52" t="e">
        <f>#REF!</f>
        <v>#REF!</v>
      </c>
      <c r="H37" s="23" t="e">
        <f>#REF!</f>
        <v>#REF!</v>
      </c>
      <c r="I37" s="23" t="e">
        <f>#REF!</f>
        <v>#REF!</v>
      </c>
      <c r="J37" s="23"/>
      <c r="K37" s="23"/>
      <c r="L37" s="23"/>
      <c r="M37" s="20"/>
      <c r="N37" s="20" t="e">
        <f>F37-(H37+I37)</f>
        <v>#REF!</v>
      </c>
    </row>
    <row r="38" spans="1:14">
      <c r="A38" s="18">
        <v>8.1999999999999993</v>
      </c>
      <c r="B38" s="19" t="s">
        <v>98</v>
      </c>
      <c r="C38" s="45" t="e">
        <f>#REF!</f>
        <v>#REF!</v>
      </c>
      <c r="D38" s="45" t="e">
        <f>#REF!</f>
        <v>#REF!</v>
      </c>
      <c r="E38" s="23" t="e">
        <f>#REF!</f>
        <v>#REF!</v>
      </c>
      <c r="F38" s="20" t="e">
        <f>D38-E38</f>
        <v>#REF!</v>
      </c>
      <c r="G38" s="52" t="e">
        <f>#REF!</f>
        <v>#REF!</v>
      </c>
      <c r="H38" s="23" t="e">
        <f>#REF!</f>
        <v>#REF!</v>
      </c>
      <c r="I38" s="23" t="e">
        <f>#REF!</f>
        <v>#REF!</v>
      </c>
      <c r="J38" s="23"/>
      <c r="K38" s="23"/>
      <c r="L38" s="23"/>
      <c r="M38" s="20"/>
      <c r="N38" s="20" t="e">
        <f>F38-(H38+I38)</f>
        <v>#REF!</v>
      </c>
    </row>
    <row r="39" spans="1:14" s="17" customFormat="1">
      <c r="A39" s="9"/>
      <c r="B39" s="16" t="s">
        <v>111</v>
      </c>
      <c r="C39" s="21" t="e">
        <f>#N/A</f>
        <v>#N/A</v>
      </c>
      <c r="D39" s="21" t="e">
        <f>#N/A</f>
        <v>#N/A</v>
      </c>
      <c r="E39" s="21" t="e">
        <f>#N/A</f>
        <v>#N/A</v>
      </c>
      <c r="F39" s="21" t="e">
        <f>#N/A</f>
        <v>#N/A</v>
      </c>
      <c r="G39" s="53" t="e">
        <f>#N/A</f>
        <v>#N/A</v>
      </c>
      <c r="H39" s="21" t="e">
        <f>#N/A</f>
        <v>#N/A</v>
      </c>
      <c r="I39" s="21" t="e">
        <f>#N/A</f>
        <v>#N/A</v>
      </c>
      <c r="J39" s="21" t="e">
        <f>#N/A</f>
        <v>#N/A</v>
      </c>
      <c r="K39" s="21" t="e">
        <f>#N/A</f>
        <v>#N/A</v>
      </c>
      <c r="L39" s="21" t="e">
        <f>#N/A</f>
        <v>#N/A</v>
      </c>
      <c r="M39" s="21" t="e">
        <f>#N/A</f>
        <v>#N/A</v>
      </c>
      <c r="N39" s="20" t="e">
        <f>SUM(N37:N38)</f>
        <v>#REF!</v>
      </c>
    </row>
    <row r="40" spans="1:14" s="17" customFormat="1">
      <c r="A40" s="9">
        <v>9</v>
      </c>
      <c r="B40" s="15" t="s">
        <v>112</v>
      </c>
      <c r="C40" s="22"/>
      <c r="D40" s="22"/>
      <c r="E40" s="22"/>
      <c r="F40" s="22"/>
      <c r="G40" s="54"/>
      <c r="H40" s="22"/>
      <c r="I40" s="22"/>
      <c r="J40" s="22"/>
      <c r="K40" s="22"/>
      <c r="L40" s="22"/>
      <c r="M40" s="22"/>
      <c r="N40" s="22"/>
    </row>
    <row r="41" spans="1:14">
      <c r="A41" s="18">
        <v>9.1</v>
      </c>
      <c r="B41" s="19" t="s">
        <v>97</v>
      </c>
      <c r="C41" s="23" t="e">
        <f>#REF!</f>
        <v>#REF!</v>
      </c>
      <c r="D41" s="23" t="e">
        <f>#REF!</f>
        <v>#REF!</v>
      </c>
      <c r="E41" s="23" t="e">
        <f>#REF!</f>
        <v>#REF!</v>
      </c>
      <c r="F41" s="46" t="e">
        <f>D41-E41</f>
        <v>#REF!</v>
      </c>
      <c r="G41" s="45" t="e">
        <f>#REF!+#REF!</f>
        <v>#REF!</v>
      </c>
      <c r="H41" s="23" t="e">
        <f>#REF!</f>
        <v>#REF!</v>
      </c>
      <c r="I41" s="23" t="e">
        <f>#REF!</f>
        <v>#REF!</v>
      </c>
      <c r="J41" s="23"/>
      <c r="K41" s="23"/>
      <c r="L41" s="23"/>
      <c r="M41" s="20"/>
      <c r="N41" s="20" t="e">
        <f>F41-(H41+I41)</f>
        <v>#REF!</v>
      </c>
    </row>
    <row r="42" spans="1:14">
      <c r="A42" s="18">
        <v>9.1999999999999993</v>
      </c>
      <c r="B42" s="19" t="s">
        <v>98</v>
      </c>
      <c r="C42" s="23" t="e">
        <f>#REF!</f>
        <v>#REF!</v>
      </c>
      <c r="D42" s="23" t="e">
        <f>#REF!</f>
        <v>#REF!</v>
      </c>
      <c r="E42" s="23" t="e">
        <f>#REF!</f>
        <v>#REF!</v>
      </c>
      <c r="F42" s="47" t="e">
        <f>D42-E42</f>
        <v>#REF!</v>
      </c>
      <c r="G42" s="45" t="e">
        <f>#REF!</f>
        <v>#REF!</v>
      </c>
      <c r="H42" s="23" t="e">
        <f>#REF!</f>
        <v>#REF!</v>
      </c>
      <c r="I42" s="23" t="e">
        <f>#REF!</f>
        <v>#REF!</v>
      </c>
      <c r="J42" s="47"/>
      <c r="K42" s="47"/>
      <c r="L42" s="47"/>
      <c r="M42" s="47"/>
      <c r="N42" s="20" t="e">
        <f>F42-(H42+I42)</f>
        <v>#REF!</v>
      </c>
    </row>
    <row r="43" spans="1:14" s="17" customFormat="1">
      <c r="A43" s="9"/>
      <c r="B43" s="16" t="s">
        <v>113</v>
      </c>
      <c r="C43" s="21" t="e">
        <f>SUM(C41:C42)</f>
        <v>#REF!</v>
      </c>
      <c r="D43" s="21" t="e">
        <f>#N/A</f>
        <v>#N/A</v>
      </c>
      <c r="E43" s="21" t="e">
        <f>#N/A</f>
        <v>#N/A</v>
      </c>
      <c r="F43" s="21" t="e">
        <f>#N/A</f>
        <v>#N/A</v>
      </c>
      <c r="G43" s="53" t="e">
        <f>SUM(G41:G42)</f>
        <v>#REF!</v>
      </c>
      <c r="H43" s="21" t="e">
        <f>#N/A</f>
        <v>#N/A</v>
      </c>
      <c r="I43" s="21" t="e">
        <f>#N/A</f>
        <v>#N/A</v>
      </c>
      <c r="J43" s="21" t="e">
        <f>#N/A</f>
        <v>#N/A</v>
      </c>
      <c r="K43" s="21" t="e">
        <f>#N/A</f>
        <v>#N/A</v>
      </c>
      <c r="L43" s="21" t="e">
        <f>#N/A</f>
        <v>#N/A</v>
      </c>
      <c r="M43" s="21" t="e">
        <f>#N/A</f>
        <v>#N/A</v>
      </c>
      <c r="N43" s="20" t="e">
        <f>SUM(N41:N42)</f>
        <v>#REF!</v>
      </c>
    </row>
    <row r="44" spans="1:14" s="17" customFormat="1">
      <c r="A44" s="9">
        <v>10</v>
      </c>
      <c r="B44" s="15" t="s">
        <v>114</v>
      </c>
      <c r="C44" s="22"/>
      <c r="D44" s="22"/>
      <c r="E44" s="22"/>
      <c r="F44" s="22"/>
      <c r="G44" s="54"/>
      <c r="H44" s="22"/>
      <c r="I44" s="22"/>
      <c r="J44" s="22"/>
      <c r="K44" s="22"/>
      <c r="L44" s="22"/>
      <c r="M44" s="22"/>
      <c r="N44" s="22"/>
    </row>
    <row r="45" spans="1:14" s="24" customFormat="1">
      <c r="A45" s="18">
        <v>10.1</v>
      </c>
      <c r="B45" s="19" t="s">
        <v>97</v>
      </c>
      <c r="C45" s="23" t="e">
        <f>H45+I45</f>
        <v>#REF!</v>
      </c>
      <c r="D45" s="23" t="e">
        <f>C45</f>
        <v>#REF!</v>
      </c>
      <c r="E45" s="20" t="e">
        <f>#REF!</f>
        <v>#REF!</v>
      </c>
      <c r="F45" s="47" t="e">
        <f>D45-E45</f>
        <v>#REF!</v>
      </c>
      <c r="G45" s="52" t="e">
        <f>#REF!</f>
        <v>#REF!</v>
      </c>
      <c r="H45" s="23" t="e">
        <f>#REF!</f>
        <v>#REF!</v>
      </c>
      <c r="I45" s="23" t="e">
        <f>#REF!</f>
        <v>#REF!</v>
      </c>
      <c r="J45" s="23"/>
      <c r="K45" s="23"/>
      <c r="L45" s="23"/>
      <c r="M45" s="20"/>
      <c r="N45" s="20" t="e">
        <f>F45-(H45+I45)</f>
        <v>#REF!</v>
      </c>
    </row>
    <row r="46" spans="1:14" s="24" customFormat="1">
      <c r="A46" s="18">
        <v>10.199999999999999</v>
      </c>
      <c r="B46" s="19" t="s">
        <v>98</v>
      </c>
      <c r="C46" s="23" t="e">
        <f>H46+I46</f>
        <v>#REF!</v>
      </c>
      <c r="D46" s="23" t="e">
        <f>C46</f>
        <v>#REF!</v>
      </c>
      <c r="E46" s="20" t="e">
        <f>#REF!</f>
        <v>#REF!</v>
      </c>
      <c r="F46" s="47" t="e">
        <f>D46-E46</f>
        <v>#REF!</v>
      </c>
      <c r="G46" s="52" t="e">
        <f>#REF!</f>
        <v>#REF!</v>
      </c>
      <c r="H46" s="23" t="e">
        <f>#REF!</f>
        <v>#REF!</v>
      </c>
      <c r="I46" s="23" t="e">
        <f>#REF!</f>
        <v>#REF!</v>
      </c>
      <c r="J46" s="23"/>
      <c r="K46" s="23"/>
      <c r="L46" s="23"/>
      <c r="M46" s="20"/>
      <c r="N46" s="20" t="e">
        <f>F46-(H46+I46)</f>
        <v>#REF!</v>
      </c>
    </row>
    <row r="47" spans="1:14" s="24" customFormat="1">
      <c r="A47" s="18">
        <v>10.4</v>
      </c>
      <c r="B47" s="19" t="s">
        <v>115</v>
      </c>
      <c r="C47" s="23" t="e">
        <f>H47+I47</f>
        <v>#REF!</v>
      </c>
      <c r="D47" s="23" t="e">
        <f>C47</f>
        <v>#REF!</v>
      </c>
      <c r="E47" s="20">
        <v>0</v>
      </c>
      <c r="F47" s="47" t="e">
        <f>D47-E47</f>
        <v>#REF!</v>
      </c>
      <c r="G47" s="52" t="e">
        <f>#REF!</f>
        <v>#REF!</v>
      </c>
      <c r="H47" s="23" t="e">
        <f>#REF!</f>
        <v>#REF!</v>
      </c>
      <c r="I47" s="23" t="e">
        <f>#REF!</f>
        <v>#REF!</v>
      </c>
      <c r="J47" s="23"/>
      <c r="K47" s="23"/>
      <c r="L47" s="23"/>
      <c r="M47" s="20"/>
      <c r="N47" s="21" t="e">
        <f>SUM(N45:N46)</f>
        <v>#REF!</v>
      </c>
    </row>
    <row r="48" spans="1:14" s="25" customFormat="1">
      <c r="A48" s="9"/>
      <c r="B48" s="16" t="s">
        <v>116</v>
      </c>
      <c r="C48" s="21" t="e">
        <f>C45-C47</f>
        <v>#REF!</v>
      </c>
      <c r="D48" s="21" t="e">
        <f>#N/A</f>
        <v>#N/A</v>
      </c>
      <c r="E48" s="21" t="e">
        <f>#N/A</f>
        <v>#N/A</v>
      </c>
      <c r="F48" s="47" t="e">
        <f>D48-E48</f>
        <v>#N/A</v>
      </c>
      <c r="G48" s="53" t="e">
        <f>#N/A</f>
        <v>#N/A</v>
      </c>
      <c r="H48" s="21" t="e">
        <f>#N/A</f>
        <v>#N/A</v>
      </c>
      <c r="I48" s="21" t="e">
        <f>#N/A</f>
        <v>#N/A</v>
      </c>
      <c r="J48" s="21"/>
      <c r="K48" s="21"/>
      <c r="L48" s="21"/>
      <c r="M48" s="21"/>
      <c r="N48" s="21" t="e">
        <f>N45-N47</f>
        <v>#REF!</v>
      </c>
    </row>
    <row r="49" spans="1:14" s="17" customFormat="1">
      <c r="A49" s="9">
        <v>11</v>
      </c>
      <c r="B49" s="15" t="s">
        <v>117</v>
      </c>
      <c r="C49" s="22"/>
      <c r="D49" s="22"/>
      <c r="E49" s="22"/>
      <c r="F49" s="22"/>
      <c r="G49" s="54"/>
      <c r="H49" s="22"/>
      <c r="I49" s="22"/>
      <c r="J49" s="22"/>
      <c r="K49" s="22"/>
      <c r="L49" s="22"/>
      <c r="M49" s="22"/>
      <c r="N49" s="22"/>
    </row>
    <row r="50" spans="1:14">
      <c r="A50" s="18">
        <v>11.1</v>
      </c>
      <c r="B50" s="19" t="s">
        <v>97</v>
      </c>
      <c r="C50" s="23" t="e">
        <f>#REF!</f>
        <v>#REF!</v>
      </c>
      <c r="D50" s="23" t="e">
        <f>#REF!</f>
        <v>#REF!</v>
      </c>
      <c r="E50" s="20" t="e">
        <f>#REF!</f>
        <v>#REF!</v>
      </c>
      <c r="F50" s="46" t="e">
        <f>D50-E50</f>
        <v>#REF!</v>
      </c>
      <c r="G50" s="52" t="e">
        <f>#REF!</f>
        <v>#REF!</v>
      </c>
      <c r="H50" s="23" t="e">
        <f>#REF!</f>
        <v>#REF!</v>
      </c>
      <c r="I50" s="23" t="e">
        <f>#REF!</f>
        <v>#REF!</v>
      </c>
      <c r="J50" s="23"/>
      <c r="K50" s="23"/>
      <c r="L50" s="23"/>
      <c r="M50" s="20" t="e">
        <f>SUM(H50:L50)</f>
        <v>#REF!</v>
      </c>
      <c r="N50" s="20" t="e">
        <f>F50-(H50+I50)</f>
        <v>#REF!</v>
      </c>
    </row>
    <row r="51" spans="1:14">
      <c r="A51" s="18">
        <v>11.2</v>
      </c>
      <c r="B51" s="19" t="s">
        <v>98</v>
      </c>
      <c r="C51" s="23" t="e">
        <f>#REF!</f>
        <v>#REF!</v>
      </c>
      <c r="D51" s="23" t="e">
        <f>#REF!</f>
        <v>#REF!</v>
      </c>
      <c r="E51" s="20" t="e">
        <f>#REF!</f>
        <v>#REF!</v>
      </c>
      <c r="F51" s="46" t="e">
        <f>D51-E51</f>
        <v>#REF!</v>
      </c>
      <c r="G51" s="52" t="e">
        <f>#REF!</f>
        <v>#REF!</v>
      </c>
      <c r="H51" s="23" t="e">
        <f>#REF!</f>
        <v>#REF!</v>
      </c>
      <c r="I51" s="23" t="e">
        <f>#REF!</f>
        <v>#REF!</v>
      </c>
      <c r="J51" s="23"/>
      <c r="K51" s="23"/>
      <c r="L51" s="23"/>
      <c r="M51" s="20" t="e">
        <f>SUM(H51:L51)</f>
        <v>#REF!</v>
      </c>
      <c r="N51" s="20" t="e">
        <f>F51-(H51+I51)</f>
        <v>#REF!</v>
      </c>
    </row>
    <row r="52" spans="1:14" s="17" customFormat="1">
      <c r="A52" s="48"/>
      <c r="B52" s="49" t="s">
        <v>118</v>
      </c>
      <c r="C52" s="50" t="e">
        <f>C50+C51</f>
        <v>#REF!</v>
      </c>
      <c r="D52" s="50" t="e">
        <f>#N/A</f>
        <v>#N/A</v>
      </c>
      <c r="E52" s="50" t="e">
        <f>#N/A</f>
        <v>#N/A</v>
      </c>
      <c r="F52" s="50" t="e">
        <f>#N/A</f>
        <v>#N/A</v>
      </c>
      <c r="G52" s="55" t="e">
        <f>#N/A</f>
        <v>#N/A</v>
      </c>
      <c r="H52" s="50" t="e">
        <f>#N/A</f>
        <v>#N/A</v>
      </c>
      <c r="I52" s="50" t="e">
        <f>#N/A</f>
        <v>#N/A</v>
      </c>
      <c r="J52" s="50" t="e">
        <f>#N/A</f>
        <v>#N/A</v>
      </c>
      <c r="K52" s="50" t="e">
        <f>#N/A</f>
        <v>#N/A</v>
      </c>
      <c r="L52" s="50" t="e">
        <f>#N/A</f>
        <v>#N/A</v>
      </c>
      <c r="M52" s="50" t="e">
        <f>M50+M51</f>
        <v>#REF!</v>
      </c>
      <c r="N52" s="21" t="e">
        <f>SUM(N50:N51)</f>
        <v>#REF!</v>
      </c>
    </row>
    <row r="53" spans="1:14" s="29" customFormat="1">
      <c r="A53" s="26">
        <v>12</v>
      </c>
      <c r="B53" s="27" t="s">
        <v>119</v>
      </c>
      <c r="C53" s="21"/>
      <c r="D53" s="21"/>
      <c r="E53" s="21"/>
      <c r="F53" s="21"/>
      <c r="G53" s="53"/>
      <c r="H53" s="21"/>
      <c r="I53" s="21"/>
      <c r="J53" s="21"/>
      <c r="K53" s="21"/>
      <c r="L53" s="21"/>
      <c r="M53" s="21"/>
      <c r="N53" s="21"/>
    </row>
    <row r="54" spans="1:14" s="29" customFormat="1">
      <c r="A54" s="26">
        <v>12.1</v>
      </c>
      <c r="B54" s="19" t="s">
        <v>97</v>
      </c>
      <c r="C54" s="21" t="e">
        <f>#N/A</f>
        <v>#N/A</v>
      </c>
      <c r="D54" s="21" t="e">
        <f>#N/A</f>
        <v>#N/A</v>
      </c>
      <c r="E54" s="21" t="e">
        <f>#N/A</f>
        <v>#N/A</v>
      </c>
      <c r="F54" s="21" t="e">
        <f>#N/A</f>
        <v>#N/A</v>
      </c>
      <c r="G54" s="53" t="e">
        <f>#N/A</f>
        <v>#N/A</v>
      </c>
      <c r="H54" s="21" t="e">
        <f>#N/A</f>
        <v>#N/A</v>
      </c>
      <c r="I54" s="21" t="e">
        <f>#N/A</f>
        <v>#N/A</v>
      </c>
      <c r="J54" s="21" t="e">
        <f>#N/A</f>
        <v>#N/A</v>
      </c>
      <c r="K54" s="21" t="e">
        <f>#N/A</f>
        <v>#N/A</v>
      </c>
      <c r="L54" s="21" t="e">
        <f>#N/A</f>
        <v>#N/A</v>
      </c>
      <c r="M54" s="21" t="e">
        <f>#N/A</f>
        <v>#N/A</v>
      </c>
      <c r="N54" s="21" t="e">
        <f>+N9+N13+N17+N21+N25+N29+N33+N37+N41+N45+N50</f>
        <v>#REF!</v>
      </c>
    </row>
    <row r="55" spans="1:14" s="29" customFormat="1">
      <c r="A55" s="26">
        <v>12.2</v>
      </c>
      <c r="B55" s="19" t="s">
        <v>98</v>
      </c>
      <c r="C55" s="21" t="e">
        <f>#N/A</f>
        <v>#N/A</v>
      </c>
      <c r="D55" s="21" t="e">
        <f>+D10+D14+D18+D22+D26+D30+D34+D38+D42+D46+D51</f>
        <v>#REF!</v>
      </c>
      <c r="E55" s="21" t="e">
        <f>#N/A</f>
        <v>#N/A</v>
      </c>
      <c r="F55" s="21" t="e">
        <f>+F10+F14+F18+F22+F26+F30+F34+F38+F42+F46+F51</f>
        <v>#REF!</v>
      </c>
      <c r="G55" s="53" t="e">
        <f>+G10+G14+G18+G22+G26+G30+G34+G38+G42+G46+G51</f>
        <v>#REF!</v>
      </c>
      <c r="H55" s="21" t="e">
        <f>#N/A</f>
        <v>#N/A</v>
      </c>
      <c r="I55" s="21" t="e">
        <f>#N/A</f>
        <v>#N/A</v>
      </c>
      <c r="J55" s="21">
        <f>+J10+J14+J18+J22+J26+J30+J34+J38+J42+J46+J51</f>
        <v>0</v>
      </c>
      <c r="K55" s="21" t="e">
        <f>#N/A</f>
        <v>#N/A</v>
      </c>
      <c r="L55" s="21" t="e">
        <f>#N/A</f>
        <v>#N/A</v>
      </c>
      <c r="M55" s="21" t="e">
        <f>+M10+M14+M18+M22+M26+M30+M34+M38+M42+M46+M51</f>
        <v>#REF!</v>
      </c>
      <c r="N55" s="21" t="e">
        <f>+N10+N14+N18+N22+N26+N30+N34+N38+N42+N46+N51</f>
        <v>#REF!</v>
      </c>
    </row>
    <row r="56" spans="1:14" s="29" customFormat="1">
      <c r="A56" s="34">
        <v>12.4</v>
      </c>
      <c r="B56" s="35" t="s">
        <v>120</v>
      </c>
      <c r="C56" s="36"/>
      <c r="D56" s="36"/>
      <c r="E56" s="36"/>
      <c r="F56" s="36"/>
      <c r="G56" s="56" t="e">
        <f>#REF!+#REF!+#REF!+#REF!+#REF!+#REF!+#REF!+#REF!+#REF!+#REF!</f>
        <v>#REF!</v>
      </c>
      <c r="H56" s="36" t="e">
        <f>#REF!+#REF!+#REF!+#REF!+#REF!+#REF!+#REF!+#REF!+#REF!+#REF!</f>
        <v>#REF!</v>
      </c>
      <c r="I56" s="36" t="e">
        <f>#REF!+#REF!+#REF!+#REF!+#REF!+#REF!+#REF!+#REF!+#REF!+#REF!</f>
        <v>#REF!</v>
      </c>
      <c r="J56" s="36"/>
      <c r="K56" s="36"/>
      <c r="L56" s="36"/>
      <c r="M56" s="36"/>
      <c r="N56" s="36"/>
    </row>
    <row r="57" spans="1:14" s="29" customFormat="1">
      <c r="A57" s="26">
        <v>12.5</v>
      </c>
      <c r="B57" s="28" t="s">
        <v>121</v>
      </c>
      <c r="C57" s="21"/>
      <c r="D57" s="21"/>
      <c r="E57" s="21"/>
      <c r="F57" s="21"/>
      <c r="G57" s="53" t="e">
        <f>#REF!+#REF!+#REF!+#REF!+#REF!+#REF!+#REF!+#REF!+#REF!+#REF!</f>
        <v>#REF!</v>
      </c>
      <c r="H57" s="21" t="e">
        <f>#REF!+#REF!+#REF!+#REF!+#REF!+#REF!+#REF!+#REF!+#REF!+#REF!</f>
        <v>#REF!</v>
      </c>
      <c r="I57" s="21" t="e">
        <f>#REF!+#REF!+#REF!+#REF!+#REF!+#REF!+#REF!+#REF!+#REF!+#REF!</f>
        <v>#REF!</v>
      </c>
      <c r="J57" s="21"/>
      <c r="K57" s="21"/>
      <c r="L57" s="21"/>
      <c r="M57" s="21"/>
      <c r="N57" s="21"/>
    </row>
    <row r="58" spans="1:14" s="17" customFormat="1">
      <c r="A58" s="9"/>
      <c r="B58" s="9" t="s">
        <v>122</v>
      </c>
      <c r="C58" s="21" t="e">
        <f>+C54+C55</f>
        <v>#N/A</v>
      </c>
      <c r="D58" s="21" t="e">
        <f>+D54+D55</f>
        <v>#N/A</v>
      </c>
      <c r="E58" s="21" t="e">
        <f>+E54+E55</f>
        <v>#N/A</v>
      </c>
      <c r="F58" s="21" t="e">
        <f>+F54+F55</f>
        <v>#N/A</v>
      </c>
      <c r="G58" s="51" t="e">
        <f>SUM(G54:G57)</f>
        <v>#N/A</v>
      </c>
      <c r="H58" s="21" t="e">
        <f>SUM(H54:H57)</f>
        <v>#N/A</v>
      </c>
      <c r="I58" s="21" t="e">
        <f>SUM(I54:I57)</f>
        <v>#N/A</v>
      </c>
      <c r="J58" s="21" t="e">
        <f>+J54+J55</f>
        <v>#N/A</v>
      </c>
      <c r="K58" s="21" t="e">
        <f>+K54+K55</f>
        <v>#N/A</v>
      </c>
      <c r="L58" s="21" t="e">
        <f>+L54+L55</f>
        <v>#N/A</v>
      </c>
      <c r="M58" s="21" t="e">
        <f>+M54+M55</f>
        <v>#N/A</v>
      </c>
      <c r="N58" s="21" t="e">
        <f>SUM(N54:N55)</f>
        <v>#REF!</v>
      </c>
    </row>
    <row r="59" spans="1:14" s="17" customFormat="1">
      <c r="A59" s="7"/>
      <c r="B59" s="7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</row>
    <row r="60" spans="1:14">
      <c r="E60" s="32" t="s">
        <v>29</v>
      </c>
      <c r="F60" s="5"/>
      <c r="G60" s="5"/>
      <c r="H60" s="5"/>
      <c r="I60" s="5"/>
      <c r="J60" s="5"/>
      <c r="K60" s="5"/>
      <c r="L60" s="5"/>
      <c r="M60" s="5"/>
      <c r="N60" s="5"/>
    </row>
    <row r="61" spans="1:14">
      <c r="F61" s="5"/>
      <c r="G61" s="5"/>
      <c r="H61" s="5"/>
      <c r="I61" s="5"/>
      <c r="J61" s="5"/>
      <c r="K61" s="5"/>
      <c r="L61" s="5"/>
      <c r="M61" s="5"/>
      <c r="N61" s="5"/>
    </row>
    <row r="62" spans="1:14">
      <c r="F62" s="5"/>
      <c r="G62" s="5"/>
      <c r="H62" s="5"/>
      <c r="I62" s="5"/>
      <c r="J62" s="5"/>
      <c r="K62" s="5"/>
      <c r="L62" s="5"/>
      <c r="M62" s="5"/>
      <c r="N62" s="5"/>
    </row>
    <row r="63" spans="1:14">
      <c r="F63" s="5"/>
      <c r="G63" s="5"/>
      <c r="H63" s="5"/>
      <c r="I63" s="5"/>
      <c r="J63" s="5"/>
      <c r="K63" s="5"/>
      <c r="L63" s="5"/>
      <c r="M63" s="5"/>
      <c r="N63" s="5"/>
    </row>
    <row r="64" spans="1:14">
      <c r="F64" s="5"/>
      <c r="G64" s="5"/>
      <c r="H64" s="5"/>
      <c r="I64" s="5"/>
      <c r="J64" s="5"/>
      <c r="K64" s="5"/>
      <c r="L64" s="5"/>
      <c r="M64" s="5"/>
      <c r="N64" s="5"/>
    </row>
    <row r="65" spans="6:14" s="3" customFormat="1">
      <c r="F65" s="5"/>
      <c r="G65" s="5"/>
      <c r="H65" s="5"/>
      <c r="I65" s="5"/>
      <c r="J65" s="5"/>
      <c r="K65" s="5"/>
      <c r="L65" s="5"/>
      <c r="M65" s="5"/>
      <c r="N65" s="5"/>
    </row>
    <row r="66" spans="6:14" s="3" customFormat="1">
      <c r="F66" s="5"/>
      <c r="G66" s="5"/>
      <c r="H66" s="5"/>
      <c r="I66" s="5"/>
      <c r="J66" s="5"/>
      <c r="K66" s="5"/>
      <c r="L66" s="5"/>
      <c r="M66" s="5"/>
      <c r="N66" s="5"/>
    </row>
    <row r="67" spans="6:14" s="3" customFormat="1">
      <c r="F67" s="5"/>
      <c r="G67" s="5"/>
      <c r="H67" s="5"/>
      <c r="I67" s="5"/>
      <c r="J67" s="5"/>
      <c r="K67" s="5"/>
      <c r="L67" s="5"/>
      <c r="M67" s="5"/>
      <c r="N67" s="5"/>
    </row>
    <row r="68" spans="6:14" s="3" customFormat="1" ht="12.75" customHeight="1">
      <c r="F68" s="5"/>
      <c r="G68" s="5"/>
      <c r="H68" s="5"/>
      <c r="I68" s="5"/>
      <c r="J68" s="5"/>
      <c r="K68" s="5"/>
      <c r="L68" s="5"/>
      <c r="M68" s="5"/>
      <c r="N68" s="5"/>
    </row>
    <row r="69" spans="6:14" s="3" customFormat="1">
      <c r="F69" s="5"/>
      <c r="G69" s="5"/>
      <c r="H69" s="5"/>
      <c r="I69" s="5"/>
      <c r="J69" s="5"/>
      <c r="K69" s="5"/>
      <c r="L69" s="5"/>
      <c r="M69" s="5"/>
      <c r="N69" s="5"/>
    </row>
    <row r="70" spans="6:14" s="3" customFormat="1">
      <c r="F70" s="5"/>
      <c r="G70" s="5"/>
      <c r="H70" s="5"/>
      <c r="I70" s="5"/>
      <c r="J70" s="5"/>
      <c r="K70" s="5"/>
      <c r="L70" s="5"/>
      <c r="M70" s="5"/>
      <c r="N70" s="5"/>
    </row>
    <row r="71" spans="6:14" s="3" customFormat="1">
      <c r="F71" s="5"/>
      <c r="G71" s="5"/>
      <c r="H71" s="5"/>
      <c r="I71" s="5"/>
      <c r="J71" s="5"/>
      <c r="K71" s="5"/>
      <c r="L71" s="5"/>
      <c r="M71" s="5"/>
      <c r="N71" s="5"/>
    </row>
    <row r="72" spans="6:14" s="3" customFormat="1">
      <c r="F72" s="5"/>
      <c r="G72" s="5"/>
      <c r="H72" s="5"/>
      <c r="I72" s="5"/>
      <c r="J72" s="5"/>
      <c r="K72" s="5"/>
      <c r="L72" s="5"/>
      <c r="M72" s="5"/>
      <c r="N72" s="5"/>
    </row>
    <row r="73" spans="6:14" s="3" customFormat="1">
      <c r="F73" s="5"/>
      <c r="G73" s="5"/>
      <c r="H73" s="5"/>
      <c r="I73" s="5"/>
      <c r="J73" s="5"/>
      <c r="K73" s="5"/>
      <c r="L73" s="5"/>
      <c r="M73" s="5"/>
      <c r="N73" s="5"/>
    </row>
    <row r="74" spans="6:14" s="3" customFormat="1">
      <c r="F74" s="5"/>
      <c r="G74" s="5"/>
      <c r="H74" s="5"/>
      <c r="I74" s="5"/>
      <c r="J74" s="5"/>
      <c r="K74" s="5"/>
      <c r="L74" s="5"/>
      <c r="M74" s="5"/>
      <c r="N74" s="5"/>
    </row>
    <row r="75" spans="6:14" s="3" customFormat="1">
      <c r="F75" s="5"/>
      <c r="G75" s="5"/>
      <c r="H75" s="5"/>
      <c r="I75" s="5"/>
      <c r="J75" s="5"/>
      <c r="K75" s="5"/>
      <c r="L75" s="5"/>
      <c r="M75" s="5"/>
      <c r="N75" s="5"/>
    </row>
    <row r="76" spans="6:14" s="3" customFormat="1">
      <c r="F76" s="5"/>
      <c r="G76" s="5"/>
      <c r="H76" s="5"/>
      <c r="I76" s="5"/>
      <c r="J76" s="5"/>
      <c r="K76" s="5"/>
      <c r="L76" s="5"/>
      <c r="M76" s="5"/>
      <c r="N76" s="5"/>
    </row>
    <row r="77" spans="6:14" s="3" customFormat="1">
      <c r="F77" s="5"/>
      <c r="G77" s="5"/>
      <c r="H77" s="5"/>
      <c r="I77" s="5"/>
      <c r="J77" s="5"/>
      <c r="K77" s="5"/>
      <c r="L77" s="5"/>
      <c r="M77" s="5"/>
      <c r="N77" s="5"/>
    </row>
    <row r="78" spans="6:14" s="3" customFormat="1">
      <c r="F78" s="5"/>
      <c r="G78" s="5"/>
      <c r="H78" s="5"/>
      <c r="I78" s="5"/>
      <c r="J78" s="5"/>
      <c r="K78" s="5"/>
      <c r="L78" s="5"/>
      <c r="M78" s="5"/>
      <c r="N78" s="5"/>
    </row>
    <row r="79" spans="6:14" s="3" customFormat="1">
      <c r="F79" s="5"/>
      <c r="G79" s="5"/>
      <c r="H79" s="5"/>
      <c r="I79" s="5"/>
      <c r="J79" s="5"/>
      <c r="K79" s="5"/>
      <c r="L79" s="5"/>
      <c r="M79" s="5"/>
      <c r="N79" s="5"/>
    </row>
    <row r="80" spans="6:14" s="3" customFormat="1">
      <c r="F80" s="5"/>
      <c r="G80" s="5"/>
      <c r="H80" s="5"/>
      <c r="I80" s="5"/>
      <c r="J80" s="5"/>
      <c r="K80" s="5"/>
      <c r="L80" s="5"/>
      <c r="M80" s="5"/>
      <c r="N80" s="5"/>
    </row>
    <row r="81" spans="6:14" s="3" customFormat="1">
      <c r="F81" s="5"/>
      <c r="G81" s="5"/>
      <c r="H81" s="5"/>
      <c r="I81" s="5"/>
      <c r="J81" s="5"/>
      <c r="K81" s="5"/>
      <c r="L81" s="5"/>
      <c r="M81" s="5"/>
      <c r="N81" s="5"/>
    </row>
    <row r="82" spans="6:14" s="3" customFormat="1">
      <c r="F82" s="5"/>
      <c r="G82" s="5"/>
      <c r="H82" s="5"/>
      <c r="I82" s="5"/>
      <c r="J82" s="5"/>
      <c r="K82" s="5"/>
      <c r="L82" s="5"/>
      <c r="M82" s="5"/>
      <c r="N82" s="5"/>
    </row>
    <row r="83" spans="6:14" s="3" customFormat="1">
      <c r="F83" s="5"/>
      <c r="G83" s="5"/>
      <c r="H83" s="5"/>
      <c r="I83" s="5"/>
      <c r="J83" s="5"/>
      <c r="K83" s="5"/>
      <c r="L83" s="5"/>
      <c r="M83" s="5"/>
      <c r="N83" s="5"/>
    </row>
    <row r="84" spans="6:14" s="3" customFormat="1">
      <c r="F84" s="5"/>
      <c r="G84" s="5"/>
      <c r="H84" s="5"/>
      <c r="I84" s="5"/>
      <c r="J84" s="5"/>
      <c r="K84" s="5"/>
      <c r="L84" s="5"/>
      <c r="M84" s="5"/>
      <c r="N84" s="5"/>
    </row>
    <row r="85" spans="6:14" s="3" customFormat="1">
      <c r="F85" s="5"/>
      <c r="G85" s="5"/>
      <c r="H85" s="5"/>
      <c r="I85" s="5"/>
      <c r="J85" s="5"/>
      <c r="K85" s="5"/>
      <c r="L85" s="5"/>
      <c r="M85" s="5"/>
      <c r="N85" s="5"/>
    </row>
    <row r="86" spans="6:14" s="3" customFormat="1">
      <c r="F86" s="5"/>
      <c r="G86" s="5"/>
      <c r="H86" s="5"/>
      <c r="I86" s="5"/>
      <c r="J86" s="5"/>
      <c r="K86" s="5"/>
      <c r="L86" s="5"/>
      <c r="M86" s="5"/>
      <c r="N86" s="5"/>
    </row>
    <row r="87" spans="6:14" s="3" customFormat="1">
      <c r="F87" s="5"/>
      <c r="G87" s="5"/>
      <c r="H87" s="5"/>
      <c r="I87" s="5"/>
      <c r="J87" s="5"/>
      <c r="K87" s="5"/>
      <c r="L87" s="5"/>
      <c r="M87" s="5"/>
      <c r="N87" s="5"/>
    </row>
    <row r="88" spans="6:14" s="3" customFormat="1">
      <c r="F88" s="5"/>
      <c r="G88" s="5"/>
      <c r="H88" s="5"/>
      <c r="I88" s="5"/>
      <c r="J88" s="5"/>
      <c r="K88" s="5"/>
      <c r="L88" s="5"/>
      <c r="M88" s="5"/>
      <c r="N88" s="5"/>
    </row>
    <row r="89" spans="6:14" s="3" customFormat="1">
      <c r="F89" s="5"/>
      <c r="G89" s="5"/>
      <c r="H89" s="5"/>
      <c r="I89" s="5"/>
      <c r="J89" s="5"/>
      <c r="K89" s="5"/>
      <c r="L89" s="5"/>
      <c r="M89" s="5"/>
      <c r="N89" s="5"/>
    </row>
    <row r="90" spans="6:14" s="3" customFormat="1">
      <c r="F90" s="5"/>
      <c r="G90" s="5"/>
      <c r="H90" s="5"/>
      <c r="I90" s="5"/>
      <c r="J90" s="5"/>
      <c r="K90" s="5"/>
      <c r="L90" s="5"/>
      <c r="M90" s="5"/>
      <c r="N90" s="5"/>
    </row>
    <row r="91" spans="6:14" s="3" customFormat="1">
      <c r="F91" s="5"/>
      <c r="G91" s="5"/>
      <c r="H91" s="5"/>
      <c r="I91" s="5"/>
      <c r="J91" s="5"/>
      <c r="K91" s="5"/>
      <c r="L91" s="5"/>
      <c r="M91" s="5"/>
      <c r="N91" s="5"/>
    </row>
    <row r="92" spans="6:14" s="3" customFormat="1">
      <c r="F92" s="5"/>
      <c r="G92" s="5"/>
      <c r="H92" s="5"/>
      <c r="I92" s="5"/>
      <c r="J92" s="5"/>
      <c r="K92" s="5"/>
      <c r="L92" s="5"/>
      <c r="M92" s="5"/>
      <c r="N92" s="5"/>
    </row>
    <row r="93" spans="6:14" s="3" customFormat="1">
      <c r="F93" s="5"/>
      <c r="G93" s="5"/>
      <c r="H93" s="5"/>
      <c r="I93" s="5"/>
      <c r="J93" s="5"/>
      <c r="K93" s="5"/>
      <c r="L93" s="5"/>
      <c r="M93" s="5"/>
      <c r="N93" s="5"/>
    </row>
    <row r="94" spans="6:14" s="3" customFormat="1">
      <c r="F94" s="5"/>
      <c r="G94" s="5"/>
      <c r="H94" s="5"/>
      <c r="I94" s="5"/>
      <c r="J94" s="5"/>
      <c r="K94" s="5"/>
      <c r="L94" s="5"/>
      <c r="M94" s="5"/>
      <c r="N94" s="5"/>
    </row>
    <row r="95" spans="6:14" s="3" customFormat="1">
      <c r="F95" s="5"/>
      <c r="G95" s="5"/>
      <c r="H95" s="5"/>
      <c r="I95" s="5"/>
      <c r="J95" s="5"/>
      <c r="K95" s="5"/>
      <c r="L95" s="5"/>
      <c r="M95" s="5"/>
      <c r="N95" s="5"/>
    </row>
    <row r="96" spans="6:14" s="3" customFormat="1">
      <c r="F96" s="5"/>
      <c r="G96" s="5"/>
      <c r="H96" s="5"/>
      <c r="I96" s="5"/>
      <c r="J96" s="5"/>
      <c r="K96" s="5"/>
      <c r="L96" s="5"/>
      <c r="M96" s="5"/>
      <c r="N96" s="5"/>
    </row>
    <row r="97" spans="6:14" s="3" customFormat="1">
      <c r="F97" s="5"/>
      <c r="G97" s="5"/>
      <c r="H97" s="5"/>
      <c r="I97" s="5"/>
      <c r="J97" s="5"/>
      <c r="K97" s="5"/>
      <c r="L97" s="5"/>
      <c r="M97" s="5"/>
      <c r="N97" s="5"/>
    </row>
    <row r="98" spans="6:14" s="3" customFormat="1">
      <c r="F98" s="5"/>
      <c r="G98" s="5"/>
      <c r="H98" s="5"/>
      <c r="I98" s="5"/>
      <c r="J98" s="5"/>
      <c r="K98" s="5"/>
      <c r="L98" s="5"/>
      <c r="M98" s="5"/>
      <c r="N98" s="5"/>
    </row>
    <row r="99" spans="6:14" s="3" customFormat="1">
      <c r="F99" s="5"/>
      <c r="G99" s="5"/>
      <c r="H99" s="5"/>
      <c r="I99" s="5"/>
      <c r="J99" s="5"/>
      <c r="K99" s="5"/>
      <c r="L99" s="5"/>
      <c r="M99" s="5"/>
      <c r="N99" s="5"/>
    </row>
    <row r="100" spans="6:14" s="3" customFormat="1">
      <c r="F100" s="5"/>
      <c r="G100" s="5"/>
      <c r="H100" s="5"/>
      <c r="I100" s="5"/>
      <c r="J100" s="5"/>
      <c r="K100" s="5"/>
      <c r="L100" s="5"/>
      <c r="M100" s="5"/>
      <c r="N100" s="5"/>
    </row>
    <row r="101" spans="6:14" s="3" customFormat="1">
      <c r="F101" s="5"/>
      <c r="G101" s="5"/>
      <c r="H101" s="5"/>
      <c r="I101" s="5"/>
      <c r="J101" s="5"/>
      <c r="K101" s="5"/>
      <c r="L101" s="5"/>
      <c r="M101" s="5"/>
      <c r="N101" s="5"/>
    </row>
    <row r="102" spans="6:14" s="3" customFormat="1">
      <c r="F102" s="5"/>
      <c r="G102" s="5"/>
      <c r="H102" s="5"/>
      <c r="I102" s="5"/>
      <c r="J102" s="5"/>
      <c r="K102" s="5"/>
      <c r="L102" s="5"/>
      <c r="M102" s="5"/>
      <c r="N102" s="5"/>
    </row>
    <row r="103" spans="6:14" s="3" customFormat="1">
      <c r="F103" s="5"/>
      <c r="G103" s="5"/>
      <c r="H103" s="5"/>
      <c r="I103" s="5"/>
      <c r="J103" s="5"/>
      <c r="K103" s="5"/>
      <c r="L103" s="5"/>
      <c r="M103" s="5"/>
      <c r="N103" s="5"/>
    </row>
    <row r="104" spans="6:14" s="3" customFormat="1">
      <c r="F104" s="5"/>
      <c r="G104" s="5"/>
      <c r="H104" s="5"/>
      <c r="I104" s="5"/>
      <c r="J104" s="5"/>
      <c r="K104" s="5"/>
      <c r="L104" s="5"/>
      <c r="M104" s="5"/>
      <c r="N104" s="5"/>
    </row>
    <row r="105" spans="6:14" s="3" customFormat="1">
      <c r="F105" s="5"/>
      <c r="G105" s="5"/>
      <c r="H105" s="5"/>
      <c r="I105" s="5"/>
      <c r="J105" s="5"/>
      <c r="K105" s="5"/>
      <c r="L105" s="5"/>
      <c r="M105" s="5"/>
      <c r="N105" s="5"/>
    </row>
    <row r="106" spans="6:14" s="3" customFormat="1">
      <c r="F106" s="5"/>
      <c r="G106" s="5"/>
      <c r="H106" s="5"/>
      <c r="I106" s="5"/>
      <c r="J106" s="5"/>
      <c r="K106" s="5"/>
      <c r="L106" s="5"/>
      <c r="M106" s="5"/>
      <c r="N106" s="5"/>
    </row>
    <row r="107" spans="6:14" s="3" customFormat="1">
      <c r="F107" s="5"/>
      <c r="G107" s="5"/>
      <c r="H107" s="5"/>
      <c r="I107" s="5"/>
      <c r="J107" s="5"/>
      <c r="K107" s="5"/>
      <c r="L107" s="5"/>
      <c r="M107" s="5"/>
      <c r="N107" s="5"/>
    </row>
    <row r="108" spans="6:14" s="3" customFormat="1">
      <c r="F108" s="5"/>
      <c r="G108" s="5"/>
      <c r="H108" s="5"/>
      <c r="I108" s="5"/>
      <c r="J108" s="5"/>
      <c r="K108" s="5"/>
      <c r="L108" s="5"/>
      <c r="M108" s="5"/>
      <c r="N108" s="5"/>
    </row>
    <row r="109" spans="6:14" s="3" customFormat="1">
      <c r="F109" s="5"/>
      <c r="G109" s="5"/>
      <c r="H109" s="5"/>
      <c r="I109" s="5"/>
      <c r="J109" s="5"/>
      <c r="K109" s="5"/>
      <c r="L109" s="5"/>
      <c r="M109" s="5"/>
      <c r="N109" s="5"/>
    </row>
    <row r="110" spans="6:14" s="3" customFormat="1">
      <c r="F110" s="5"/>
      <c r="G110" s="5"/>
      <c r="H110" s="5"/>
      <c r="I110" s="5"/>
      <c r="J110" s="5"/>
      <c r="K110" s="5"/>
      <c r="L110" s="5"/>
      <c r="M110" s="5"/>
      <c r="N110" s="5"/>
    </row>
    <row r="111" spans="6:14" s="3" customFormat="1">
      <c r="F111" s="5"/>
      <c r="G111" s="5"/>
      <c r="H111" s="5"/>
      <c r="I111" s="5"/>
      <c r="J111" s="5"/>
      <c r="K111" s="5"/>
      <c r="L111" s="5"/>
      <c r="M111" s="5"/>
      <c r="N111" s="5"/>
    </row>
    <row r="112" spans="6:14" s="3" customFormat="1">
      <c r="F112" s="5"/>
      <c r="G112" s="5"/>
      <c r="H112" s="5"/>
      <c r="I112" s="5"/>
      <c r="J112" s="5"/>
      <c r="K112" s="5"/>
      <c r="L112" s="5"/>
      <c r="M112" s="5"/>
      <c r="N112" s="5"/>
    </row>
    <row r="113" spans="6:14" s="3" customFormat="1">
      <c r="F113" s="5"/>
      <c r="G113" s="5"/>
      <c r="H113" s="5"/>
      <c r="I113" s="5"/>
      <c r="J113" s="5"/>
      <c r="K113" s="5"/>
      <c r="L113" s="5"/>
      <c r="M113" s="5"/>
      <c r="N113" s="5"/>
    </row>
    <row r="114" spans="6:14" s="3" customFormat="1">
      <c r="F114" s="5"/>
      <c r="G114" s="5"/>
      <c r="H114" s="5"/>
      <c r="I114" s="5"/>
      <c r="J114" s="5"/>
      <c r="K114" s="5"/>
      <c r="L114" s="5"/>
      <c r="M114" s="5"/>
      <c r="N114" s="5"/>
    </row>
    <row r="115" spans="6:14" s="3" customFormat="1">
      <c r="F115" s="5"/>
      <c r="G115" s="5"/>
      <c r="H115" s="5"/>
      <c r="I115" s="5"/>
      <c r="J115" s="5"/>
      <c r="K115" s="5"/>
      <c r="L115" s="5"/>
      <c r="M115" s="5"/>
      <c r="N115" s="5"/>
    </row>
    <row r="116" spans="6:14" s="3" customFormat="1">
      <c r="F116" s="5"/>
      <c r="G116" s="5"/>
      <c r="H116" s="5"/>
      <c r="I116" s="5"/>
      <c r="J116" s="5"/>
      <c r="K116" s="5"/>
      <c r="L116" s="5"/>
      <c r="M116" s="5"/>
      <c r="N116" s="5"/>
    </row>
    <row r="117" spans="6:14" s="3" customFormat="1">
      <c r="F117" s="5"/>
      <c r="G117" s="5"/>
      <c r="H117" s="5"/>
      <c r="I117" s="5"/>
      <c r="J117" s="5"/>
      <c r="K117" s="5"/>
      <c r="L117" s="5"/>
      <c r="M117" s="5"/>
      <c r="N117" s="5"/>
    </row>
    <row r="118" spans="6:14" s="3" customFormat="1">
      <c r="F118" s="5"/>
      <c r="G118" s="5"/>
      <c r="H118" s="5"/>
      <c r="I118" s="5"/>
      <c r="J118" s="5"/>
      <c r="K118" s="5"/>
      <c r="L118" s="5"/>
      <c r="M118" s="5"/>
      <c r="N118" s="5"/>
    </row>
    <row r="119" spans="6:14" s="3" customFormat="1">
      <c r="F119" s="5"/>
      <c r="G119" s="5"/>
      <c r="H119" s="5"/>
      <c r="I119" s="5"/>
      <c r="J119" s="5"/>
      <c r="K119" s="5"/>
      <c r="L119" s="5"/>
      <c r="M119" s="5"/>
      <c r="N119" s="5"/>
    </row>
    <row r="120" spans="6:14" s="3" customFormat="1">
      <c r="F120" s="5"/>
      <c r="G120" s="5"/>
      <c r="H120" s="5"/>
      <c r="I120" s="5"/>
      <c r="J120" s="5"/>
      <c r="K120" s="5"/>
      <c r="L120" s="5"/>
      <c r="M120" s="5"/>
      <c r="N120" s="5"/>
    </row>
    <row r="121" spans="6:14" s="3" customFormat="1">
      <c r="F121" s="5"/>
      <c r="G121" s="5"/>
      <c r="H121" s="5"/>
      <c r="I121" s="5"/>
      <c r="J121" s="5"/>
      <c r="K121" s="5"/>
      <c r="L121" s="5"/>
      <c r="M121" s="5"/>
      <c r="N121" s="5"/>
    </row>
    <row r="122" spans="6:14" s="3" customFormat="1">
      <c r="F122" s="5"/>
      <c r="G122" s="5"/>
      <c r="H122" s="5"/>
      <c r="I122" s="5"/>
      <c r="J122" s="5"/>
      <c r="K122" s="5"/>
      <c r="L122" s="5"/>
      <c r="M122" s="5"/>
      <c r="N122" s="5"/>
    </row>
    <row r="123" spans="6:14" s="3" customFormat="1">
      <c r="F123" s="5"/>
      <c r="G123" s="5"/>
      <c r="H123" s="5"/>
      <c r="I123" s="5"/>
      <c r="J123" s="5"/>
      <c r="K123" s="5"/>
      <c r="L123" s="5"/>
      <c r="M123" s="5"/>
      <c r="N123" s="5"/>
    </row>
    <row r="124" spans="6:14" s="3" customFormat="1">
      <c r="F124" s="5"/>
      <c r="G124" s="5"/>
      <c r="H124" s="5"/>
      <c r="I124" s="5"/>
      <c r="J124" s="5"/>
      <c r="K124" s="5"/>
      <c r="L124" s="5"/>
      <c r="M124" s="5"/>
      <c r="N124" s="5"/>
    </row>
    <row r="125" spans="6:14" s="3" customFormat="1">
      <c r="F125" s="5"/>
      <c r="G125" s="5"/>
      <c r="H125" s="5"/>
      <c r="I125" s="5"/>
      <c r="J125" s="5"/>
      <c r="K125" s="5"/>
      <c r="L125" s="5"/>
      <c r="M125" s="5"/>
      <c r="N125" s="5"/>
    </row>
    <row r="126" spans="6:14" s="3" customFormat="1">
      <c r="F126" s="5"/>
      <c r="G126" s="5"/>
      <c r="H126" s="5"/>
      <c r="I126" s="5"/>
      <c r="J126" s="5"/>
      <c r="K126" s="5"/>
      <c r="L126" s="5"/>
      <c r="M126" s="5"/>
      <c r="N126" s="5"/>
    </row>
    <row r="127" spans="6:14" s="3" customFormat="1">
      <c r="F127" s="5"/>
      <c r="G127" s="5"/>
      <c r="H127" s="5"/>
      <c r="I127" s="5"/>
      <c r="J127" s="5"/>
      <c r="K127" s="5"/>
      <c r="L127" s="5"/>
      <c r="M127" s="5"/>
      <c r="N127" s="5"/>
    </row>
    <row r="128" spans="6:14" s="3" customFormat="1">
      <c r="F128" s="5"/>
      <c r="G128" s="5"/>
      <c r="H128" s="5"/>
      <c r="I128" s="5"/>
      <c r="J128" s="5"/>
      <c r="K128" s="5"/>
      <c r="L128" s="5"/>
      <c r="M128" s="5"/>
      <c r="N128" s="5"/>
    </row>
    <row r="129" spans="6:14" s="3" customFormat="1">
      <c r="F129" s="5"/>
      <c r="G129" s="5"/>
      <c r="H129" s="5"/>
      <c r="I129" s="5"/>
      <c r="J129" s="5"/>
      <c r="K129" s="5"/>
      <c r="L129" s="5"/>
      <c r="M129" s="5"/>
      <c r="N129" s="5"/>
    </row>
    <row r="130" spans="6:14" s="3" customFormat="1">
      <c r="F130" s="5"/>
      <c r="G130" s="5"/>
      <c r="H130" s="5"/>
      <c r="I130" s="5"/>
      <c r="J130" s="5"/>
      <c r="K130" s="5"/>
      <c r="L130" s="5"/>
      <c r="M130" s="5"/>
      <c r="N130" s="5"/>
    </row>
    <row r="131" spans="6:14" s="3" customFormat="1">
      <c r="F131" s="5"/>
      <c r="G131" s="5"/>
      <c r="H131" s="5"/>
      <c r="I131" s="5"/>
      <c r="J131" s="5"/>
      <c r="K131" s="5"/>
      <c r="L131" s="5"/>
      <c r="M131" s="5"/>
      <c r="N131" s="5"/>
    </row>
    <row r="132" spans="6:14" s="3" customFormat="1">
      <c r="F132" s="5"/>
      <c r="G132" s="5"/>
      <c r="H132" s="5"/>
      <c r="I132" s="5"/>
      <c r="J132" s="5"/>
      <c r="K132" s="5"/>
      <c r="L132" s="5"/>
      <c r="M132" s="5"/>
      <c r="N132" s="5"/>
    </row>
    <row r="133" spans="6:14" s="3" customFormat="1">
      <c r="F133" s="5"/>
      <c r="G133" s="5"/>
      <c r="H133" s="5"/>
      <c r="I133" s="5"/>
      <c r="J133" s="5"/>
      <c r="K133" s="5"/>
      <c r="L133" s="5"/>
      <c r="M133" s="5"/>
      <c r="N133" s="5"/>
    </row>
    <row r="134" spans="6:14" s="3" customFormat="1">
      <c r="F134" s="5"/>
      <c r="G134" s="5"/>
      <c r="H134" s="5"/>
      <c r="I134" s="5"/>
      <c r="J134" s="5"/>
      <c r="K134" s="5"/>
      <c r="L134" s="5"/>
      <c r="M134" s="5"/>
      <c r="N134" s="5"/>
    </row>
    <row r="135" spans="6:14" s="3" customFormat="1">
      <c r="F135" s="5"/>
      <c r="G135" s="5"/>
      <c r="H135" s="5"/>
      <c r="I135" s="5"/>
      <c r="J135" s="5"/>
      <c r="K135" s="5"/>
      <c r="L135" s="5"/>
      <c r="M135" s="5"/>
      <c r="N135" s="5"/>
    </row>
    <row r="136" spans="6:14" s="3" customFormat="1">
      <c r="F136" s="5"/>
      <c r="G136" s="5"/>
      <c r="H136" s="5"/>
      <c r="I136" s="5"/>
      <c r="J136" s="5"/>
      <c r="K136" s="5"/>
      <c r="L136" s="5"/>
      <c r="M136" s="5"/>
      <c r="N136" s="5"/>
    </row>
    <row r="137" spans="6:14" s="3" customFormat="1">
      <c r="F137" s="5"/>
      <c r="G137" s="5"/>
      <c r="H137" s="5"/>
      <c r="I137" s="5"/>
      <c r="J137" s="5"/>
      <c r="K137" s="5"/>
      <c r="L137" s="5"/>
      <c r="M137" s="5"/>
      <c r="N137" s="5"/>
    </row>
    <row r="138" spans="6:14" s="3" customFormat="1">
      <c r="F138" s="5"/>
      <c r="G138" s="5"/>
      <c r="H138" s="5"/>
      <c r="I138" s="5"/>
      <c r="J138" s="5"/>
      <c r="K138" s="5"/>
      <c r="L138" s="5"/>
      <c r="M138" s="5"/>
      <c r="N138" s="5"/>
    </row>
    <row r="139" spans="6:14" s="3" customFormat="1">
      <c r="F139" s="5"/>
      <c r="G139" s="5"/>
      <c r="H139" s="5"/>
      <c r="I139" s="5"/>
      <c r="J139" s="5"/>
      <c r="K139" s="5"/>
      <c r="L139" s="5"/>
      <c r="M139" s="5"/>
      <c r="N139" s="5"/>
    </row>
    <row r="140" spans="6:14" s="3" customFormat="1">
      <c r="F140" s="5"/>
      <c r="G140" s="5"/>
      <c r="H140" s="5"/>
      <c r="I140" s="5"/>
      <c r="J140" s="5"/>
      <c r="K140" s="5"/>
      <c r="L140" s="5"/>
      <c r="M140" s="5"/>
      <c r="N140" s="5"/>
    </row>
    <row r="141" spans="6:14" s="3" customFormat="1">
      <c r="F141" s="5"/>
      <c r="G141" s="5"/>
      <c r="H141" s="5"/>
      <c r="I141" s="5"/>
      <c r="J141" s="5"/>
      <c r="K141" s="5"/>
      <c r="L141" s="5"/>
      <c r="M141" s="5"/>
      <c r="N141" s="5"/>
    </row>
    <row r="142" spans="6:14" s="3" customFormat="1">
      <c r="F142" s="5"/>
      <c r="G142" s="5"/>
      <c r="H142" s="5"/>
      <c r="I142" s="5"/>
      <c r="J142" s="5"/>
      <c r="K142" s="5"/>
      <c r="L142" s="5"/>
      <c r="M142" s="5"/>
      <c r="N142" s="5"/>
    </row>
    <row r="143" spans="6:14" s="3" customFormat="1">
      <c r="F143" s="5"/>
      <c r="G143" s="5"/>
      <c r="H143" s="5"/>
      <c r="I143" s="5"/>
      <c r="J143" s="5"/>
      <c r="K143" s="5"/>
      <c r="L143" s="5"/>
      <c r="M143" s="5"/>
      <c r="N143" s="5"/>
    </row>
    <row r="144" spans="6:14" s="3" customFormat="1">
      <c r="F144" s="5"/>
      <c r="G144" s="5"/>
      <c r="H144" s="5"/>
      <c r="I144" s="5"/>
      <c r="J144" s="5"/>
      <c r="K144" s="5"/>
      <c r="L144" s="5"/>
      <c r="M144" s="5"/>
      <c r="N144" s="5"/>
    </row>
    <row r="145" spans="6:14" s="3" customFormat="1">
      <c r="F145" s="5"/>
      <c r="G145" s="5"/>
      <c r="H145" s="5"/>
      <c r="I145" s="5"/>
      <c r="J145" s="5"/>
      <c r="K145" s="5"/>
      <c r="L145" s="5"/>
      <c r="M145" s="5"/>
      <c r="N145" s="5"/>
    </row>
    <row r="146" spans="6:14" s="3" customFormat="1">
      <c r="F146" s="5"/>
      <c r="G146" s="5"/>
      <c r="H146" s="5"/>
      <c r="I146" s="5"/>
      <c r="J146" s="5"/>
      <c r="K146" s="5"/>
      <c r="L146" s="5"/>
      <c r="M146" s="5"/>
      <c r="N146" s="5"/>
    </row>
    <row r="147" spans="6:14" s="3" customFormat="1">
      <c r="F147" s="5"/>
      <c r="G147" s="5"/>
      <c r="H147" s="5"/>
      <c r="I147" s="5"/>
      <c r="J147" s="5"/>
      <c r="K147" s="5"/>
      <c r="L147" s="5"/>
      <c r="M147" s="5"/>
      <c r="N147" s="5"/>
    </row>
    <row r="148" spans="6:14" s="3" customFormat="1">
      <c r="F148" s="5"/>
      <c r="G148" s="5"/>
      <c r="H148" s="5"/>
      <c r="I148" s="5"/>
      <c r="J148" s="5"/>
      <c r="K148" s="5"/>
      <c r="L148" s="5"/>
      <c r="M148" s="5"/>
      <c r="N148" s="5"/>
    </row>
    <row r="149" spans="6:14" s="3" customFormat="1">
      <c r="F149" s="5"/>
      <c r="G149" s="5"/>
      <c r="H149" s="5"/>
      <c r="I149" s="5"/>
      <c r="J149" s="5"/>
      <c r="K149" s="5"/>
      <c r="L149" s="5"/>
      <c r="M149" s="5"/>
      <c r="N149" s="5"/>
    </row>
    <row r="150" spans="6:14" s="3" customFormat="1">
      <c r="F150" s="5"/>
      <c r="G150" s="5"/>
      <c r="H150" s="5"/>
      <c r="I150" s="5"/>
      <c r="J150" s="5"/>
      <c r="K150" s="5"/>
      <c r="L150" s="5"/>
      <c r="M150" s="5"/>
      <c r="N150" s="5"/>
    </row>
    <row r="151" spans="6:14" s="3" customFormat="1">
      <c r="F151" s="5"/>
      <c r="G151" s="5"/>
      <c r="H151" s="5"/>
      <c r="I151" s="5"/>
      <c r="J151" s="5"/>
      <c r="K151" s="5"/>
      <c r="L151" s="5"/>
      <c r="M151" s="5"/>
      <c r="N151" s="5"/>
    </row>
    <row r="152" spans="6:14" s="3" customFormat="1">
      <c r="F152" s="5"/>
      <c r="G152" s="5"/>
      <c r="H152" s="5"/>
      <c r="I152" s="5"/>
      <c r="J152" s="5"/>
      <c r="K152" s="5"/>
      <c r="L152" s="5"/>
      <c r="M152" s="5"/>
      <c r="N152" s="5"/>
    </row>
    <row r="153" spans="6:14" s="3" customFormat="1">
      <c r="F153" s="5"/>
      <c r="G153" s="5"/>
      <c r="H153" s="5"/>
      <c r="I153" s="5"/>
      <c r="J153" s="5"/>
      <c r="K153" s="5"/>
      <c r="L153" s="5"/>
      <c r="M153" s="5"/>
      <c r="N153" s="5"/>
    </row>
    <row r="154" spans="6:14" s="3" customFormat="1">
      <c r="F154" s="5"/>
      <c r="G154" s="5"/>
      <c r="H154" s="5"/>
      <c r="I154" s="5"/>
      <c r="J154" s="5"/>
      <c r="K154" s="5"/>
      <c r="L154" s="5"/>
      <c r="M154" s="5"/>
      <c r="N154" s="5"/>
    </row>
    <row r="155" spans="6:14" s="3" customFormat="1">
      <c r="F155" s="5"/>
      <c r="G155" s="5"/>
      <c r="H155" s="5"/>
      <c r="I155" s="5"/>
      <c r="J155" s="5"/>
      <c r="K155" s="5"/>
      <c r="L155" s="5"/>
      <c r="M155" s="5"/>
      <c r="N155" s="5"/>
    </row>
    <row r="156" spans="6:14" s="3" customFormat="1">
      <c r="F156" s="5"/>
      <c r="G156" s="5"/>
      <c r="H156" s="5"/>
      <c r="I156" s="5"/>
      <c r="J156" s="5"/>
      <c r="K156" s="5"/>
      <c r="L156" s="5"/>
      <c r="M156" s="5"/>
      <c r="N156" s="5"/>
    </row>
    <row r="157" spans="6:14" s="3" customFormat="1">
      <c r="F157" s="5"/>
      <c r="G157" s="5"/>
      <c r="H157" s="5"/>
      <c r="I157" s="5"/>
      <c r="J157" s="5"/>
      <c r="K157" s="5"/>
      <c r="L157" s="5"/>
      <c r="M157" s="5"/>
      <c r="N157" s="5"/>
    </row>
    <row r="158" spans="6:14" s="3" customFormat="1">
      <c r="F158" s="5"/>
      <c r="G158" s="5"/>
      <c r="H158" s="5"/>
      <c r="I158" s="5"/>
      <c r="J158" s="5"/>
      <c r="K158" s="5"/>
      <c r="L158" s="5"/>
      <c r="M158" s="5"/>
      <c r="N158" s="5"/>
    </row>
    <row r="159" spans="6:14" s="3" customFormat="1">
      <c r="F159" s="5"/>
      <c r="G159" s="5"/>
      <c r="H159" s="5"/>
      <c r="I159" s="5"/>
      <c r="J159" s="5"/>
      <c r="K159" s="5"/>
      <c r="L159" s="5"/>
      <c r="M159" s="5"/>
      <c r="N159" s="5"/>
    </row>
    <row r="160" spans="6:14" s="3" customFormat="1">
      <c r="F160" s="5"/>
      <c r="G160" s="5"/>
      <c r="H160" s="5"/>
      <c r="I160" s="5"/>
      <c r="J160" s="5"/>
      <c r="K160" s="5"/>
      <c r="L160" s="5"/>
      <c r="M160" s="5"/>
      <c r="N160" s="5"/>
    </row>
    <row r="161" spans="6:14" s="3" customFormat="1">
      <c r="F161" s="5"/>
      <c r="G161" s="5"/>
      <c r="H161" s="5"/>
      <c r="I161" s="5"/>
      <c r="J161" s="5"/>
      <c r="K161" s="5"/>
      <c r="L161" s="5"/>
      <c r="M161" s="5"/>
      <c r="N161" s="5"/>
    </row>
    <row r="162" spans="6:14" s="3" customFormat="1">
      <c r="F162" s="5"/>
      <c r="G162" s="5"/>
      <c r="H162" s="5"/>
      <c r="I162" s="5"/>
      <c r="J162" s="5"/>
      <c r="K162" s="5"/>
      <c r="L162" s="5"/>
      <c r="M162" s="5"/>
      <c r="N162" s="5"/>
    </row>
    <row r="163" spans="6:14" s="3" customFormat="1">
      <c r="F163" s="5"/>
      <c r="G163" s="5"/>
      <c r="H163" s="5"/>
      <c r="I163" s="5"/>
      <c r="J163" s="5"/>
      <c r="K163" s="5"/>
      <c r="L163" s="5"/>
      <c r="M163" s="5"/>
      <c r="N163" s="5"/>
    </row>
    <row r="164" spans="6:14" s="3" customFormat="1">
      <c r="F164" s="5"/>
      <c r="G164" s="5"/>
      <c r="H164" s="5"/>
      <c r="I164" s="5"/>
      <c r="J164" s="5"/>
      <c r="K164" s="5"/>
      <c r="L164" s="5"/>
      <c r="M164" s="5"/>
      <c r="N164" s="5"/>
    </row>
    <row r="165" spans="6:14" s="3" customFormat="1">
      <c r="F165" s="5"/>
      <c r="G165" s="5"/>
      <c r="H165" s="5"/>
      <c r="I165" s="5"/>
      <c r="J165" s="5"/>
      <c r="K165" s="5"/>
      <c r="L165" s="5"/>
      <c r="M165" s="5"/>
      <c r="N165" s="5"/>
    </row>
    <row r="166" spans="6:14" s="3" customFormat="1">
      <c r="F166" s="5"/>
      <c r="G166" s="5"/>
      <c r="H166" s="5"/>
      <c r="I166" s="5"/>
      <c r="J166" s="5"/>
      <c r="K166" s="5"/>
      <c r="L166" s="5"/>
      <c r="M166" s="5"/>
      <c r="N166" s="5"/>
    </row>
    <row r="167" spans="6:14" s="3" customFormat="1">
      <c r="F167" s="5"/>
      <c r="G167" s="5"/>
      <c r="H167" s="5"/>
      <c r="I167" s="5"/>
      <c r="J167" s="5"/>
      <c r="K167" s="5"/>
      <c r="L167" s="5"/>
      <c r="M167" s="5"/>
      <c r="N167" s="5"/>
    </row>
    <row r="168" spans="6:14" s="3" customFormat="1">
      <c r="F168" s="5"/>
      <c r="G168" s="5"/>
      <c r="H168" s="5"/>
      <c r="I168" s="5"/>
      <c r="J168" s="5"/>
      <c r="K168" s="5"/>
      <c r="L168" s="5"/>
      <c r="M168" s="5"/>
      <c r="N168" s="5"/>
    </row>
    <row r="169" spans="6:14" s="3" customFormat="1">
      <c r="F169" s="5"/>
      <c r="G169" s="5"/>
      <c r="H169" s="5"/>
      <c r="I169" s="5"/>
      <c r="J169" s="5"/>
      <c r="K169" s="5"/>
      <c r="L169" s="5"/>
      <c r="M169" s="5"/>
      <c r="N169" s="5"/>
    </row>
    <row r="170" spans="6:14" s="3" customFormat="1">
      <c r="F170" s="5"/>
      <c r="G170" s="5"/>
      <c r="H170" s="5"/>
      <c r="I170" s="5"/>
      <c r="J170" s="5"/>
      <c r="K170" s="5"/>
      <c r="L170" s="5"/>
      <c r="M170" s="5"/>
      <c r="N170" s="5"/>
    </row>
    <row r="171" spans="6:14" s="3" customFormat="1">
      <c r="F171" s="5"/>
      <c r="G171" s="5"/>
      <c r="H171" s="5"/>
      <c r="I171" s="5"/>
      <c r="J171" s="5"/>
      <c r="K171" s="5"/>
      <c r="L171" s="5"/>
      <c r="M171" s="5"/>
      <c r="N171" s="5"/>
    </row>
    <row r="172" spans="6:14" s="3" customFormat="1">
      <c r="F172" s="5"/>
      <c r="G172" s="5"/>
      <c r="H172" s="5"/>
      <c r="I172" s="5"/>
      <c r="J172" s="5"/>
      <c r="K172" s="5"/>
      <c r="L172" s="5"/>
      <c r="M172" s="5"/>
      <c r="N172" s="5"/>
    </row>
    <row r="173" spans="6:14" s="3" customFormat="1">
      <c r="F173" s="5"/>
      <c r="G173" s="5"/>
      <c r="H173" s="5"/>
      <c r="I173" s="5"/>
      <c r="J173" s="5"/>
      <c r="K173" s="5"/>
      <c r="L173" s="5"/>
      <c r="M173" s="5"/>
      <c r="N173" s="5"/>
    </row>
    <row r="174" spans="6:14" s="3" customFormat="1">
      <c r="F174" s="5"/>
      <c r="G174" s="5"/>
      <c r="H174" s="5"/>
      <c r="I174" s="5"/>
      <c r="J174" s="5"/>
      <c r="K174" s="5"/>
      <c r="L174" s="5"/>
      <c r="M174" s="5"/>
      <c r="N174" s="5"/>
    </row>
    <row r="175" spans="6:14" s="3" customFormat="1">
      <c r="F175" s="5"/>
      <c r="G175" s="5"/>
      <c r="H175" s="5"/>
      <c r="I175" s="5"/>
      <c r="J175" s="5"/>
      <c r="K175" s="5"/>
      <c r="L175" s="5"/>
      <c r="M175" s="5"/>
      <c r="N175" s="5"/>
    </row>
    <row r="176" spans="6:14" s="3" customFormat="1">
      <c r="F176" s="5"/>
      <c r="G176" s="5"/>
      <c r="H176" s="5"/>
      <c r="I176" s="5"/>
      <c r="J176" s="5"/>
      <c r="K176" s="5"/>
      <c r="L176" s="5"/>
      <c r="M176" s="5"/>
      <c r="N176" s="5"/>
    </row>
    <row r="177" spans="6:14" s="3" customFormat="1">
      <c r="F177" s="5"/>
      <c r="G177" s="5"/>
      <c r="H177" s="5"/>
      <c r="I177" s="5"/>
      <c r="J177" s="5"/>
      <c r="K177" s="5"/>
      <c r="L177" s="5"/>
      <c r="M177" s="5"/>
      <c r="N177" s="5"/>
    </row>
    <row r="178" spans="6:14" s="3" customFormat="1">
      <c r="F178" s="5"/>
      <c r="G178" s="5"/>
      <c r="H178" s="5"/>
      <c r="I178" s="5"/>
      <c r="J178" s="5"/>
      <c r="K178" s="5"/>
      <c r="L178" s="5"/>
      <c r="M178" s="5"/>
      <c r="N178" s="5"/>
    </row>
    <row r="179" spans="6:14" s="3" customFormat="1">
      <c r="F179" s="5"/>
      <c r="G179" s="5"/>
      <c r="H179" s="5"/>
      <c r="I179" s="5"/>
      <c r="J179" s="5"/>
      <c r="K179" s="5"/>
      <c r="L179" s="5"/>
      <c r="M179" s="5"/>
      <c r="N179" s="5"/>
    </row>
    <row r="180" spans="6:14" s="3" customFormat="1">
      <c r="F180" s="5"/>
      <c r="G180" s="5"/>
      <c r="H180" s="5"/>
      <c r="I180" s="5"/>
      <c r="J180" s="5"/>
      <c r="K180" s="5"/>
      <c r="L180" s="5"/>
      <c r="M180" s="5"/>
      <c r="N180" s="5"/>
    </row>
    <row r="181" spans="6:14" s="3" customFormat="1">
      <c r="F181" s="5"/>
      <c r="G181" s="5"/>
      <c r="H181" s="5"/>
      <c r="I181" s="5"/>
      <c r="J181" s="5"/>
      <c r="K181" s="5"/>
      <c r="L181" s="5"/>
      <c r="M181" s="5"/>
      <c r="N181" s="5"/>
    </row>
    <row r="182" spans="6:14" s="3" customFormat="1">
      <c r="F182" s="5"/>
      <c r="G182" s="5"/>
      <c r="H182" s="5"/>
      <c r="I182" s="5"/>
      <c r="J182" s="5"/>
      <c r="K182" s="5"/>
      <c r="L182" s="5"/>
      <c r="M182" s="5"/>
      <c r="N182" s="5"/>
    </row>
    <row r="183" spans="6:14" s="3" customFormat="1">
      <c r="F183" s="5"/>
      <c r="G183" s="5"/>
      <c r="H183" s="5"/>
      <c r="I183" s="5"/>
      <c r="J183" s="5"/>
      <c r="K183" s="5"/>
      <c r="L183" s="5"/>
      <c r="M183" s="5"/>
      <c r="N183" s="5"/>
    </row>
    <row r="184" spans="6:14" s="3" customFormat="1">
      <c r="F184" s="5"/>
      <c r="G184" s="5"/>
      <c r="H184" s="5"/>
      <c r="I184" s="5"/>
      <c r="J184" s="5"/>
      <c r="K184" s="5"/>
      <c r="L184" s="5"/>
      <c r="M184" s="5"/>
      <c r="N184" s="5"/>
    </row>
    <row r="185" spans="6:14" s="3" customFormat="1">
      <c r="F185" s="5"/>
      <c r="G185" s="5"/>
      <c r="H185" s="5"/>
      <c r="I185" s="5"/>
      <c r="J185" s="5"/>
      <c r="K185" s="5"/>
      <c r="L185" s="5"/>
      <c r="M185" s="5"/>
      <c r="N185" s="5"/>
    </row>
    <row r="186" spans="6:14" s="3" customFormat="1">
      <c r="F186" s="5"/>
      <c r="G186" s="5"/>
      <c r="H186" s="5"/>
      <c r="I186" s="5"/>
      <c r="J186" s="5"/>
      <c r="K186" s="5"/>
      <c r="L186" s="5"/>
      <c r="M186" s="5"/>
      <c r="N186" s="5"/>
    </row>
    <row r="187" spans="6:14" s="3" customFormat="1">
      <c r="F187" s="5"/>
      <c r="G187" s="5"/>
      <c r="H187" s="5"/>
      <c r="I187" s="5"/>
      <c r="J187" s="5"/>
      <c r="K187" s="5"/>
      <c r="L187" s="5"/>
      <c r="M187" s="5"/>
      <c r="N187" s="5"/>
    </row>
    <row r="188" spans="6:14" s="3" customFormat="1">
      <c r="F188" s="5"/>
      <c r="G188" s="5"/>
      <c r="H188" s="5"/>
      <c r="I188" s="5"/>
      <c r="J188" s="5"/>
      <c r="K188" s="5"/>
      <c r="L188" s="5"/>
      <c r="M188" s="5"/>
      <c r="N188" s="5"/>
    </row>
    <row r="189" spans="6:14" s="3" customFormat="1">
      <c r="F189" s="5"/>
      <c r="G189" s="5"/>
      <c r="H189" s="5"/>
      <c r="I189" s="5"/>
      <c r="J189" s="5"/>
      <c r="K189" s="5"/>
      <c r="L189" s="5"/>
      <c r="M189" s="5"/>
      <c r="N189" s="5"/>
    </row>
    <row r="190" spans="6:14" s="3" customFormat="1">
      <c r="F190" s="5"/>
      <c r="G190" s="5"/>
      <c r="H190" s="5"/>
      <c r="I190" s="5"/>
      <c r="J190" s="5"/>
      <c r="K190" s="5"/>
      <c r="L190" s="5"/>
      <c r="M190" s="5"/>
      <c r="N190" s="5"/>
    </row>
    <row r="191" spans="6:14" s="3" customFormat="1">
      <c r="F191" s="5"/>
      <c r="G191" s="5"/>
      <c r="H191" s="5"/>
      <c r="I191" s="5"/>
      <c r="J191" s="5"/>
      <c r="K191" s="5"/>
      <c r="L191" s="5"/>
      <c r="M191" s="5"/>
      <c r="N191" s="5"/>
    </row>
    <row r="192" spans="6:14" s="3" customFormat="1">
      <c r="F192" s="5"/>
      <c r="G192" s="5"/>
      <c r="H192" s="5"/>
      <c r="I192" s="5"/>
      <c r="J192" s="5"/>
      <c r="K192" s="5"/>
      <c r="L192" s="5"/>
      <c r="M192" s="5"/>
      <c r="N192" s="5"/>
    </row>
    <row r="193" spans="6:14" s="3" customFormat="1">
      <c r="F193" s="5"/>
      <c r="G193" s="5"/>
      <c r="H193" s="5"/>
      <c r="I193" s="5"/>
      <c r="J193" s="5"/>
      <c r="K193" s="5"/>
      <c r="L193" s="5"/>
      <c r="M193" s="5"/>
      <c r="N193" s="5"/>
    </row>
    <row r="194" spans="6:14" s="3" customFormat="1">
      <c r="F194" s="5"/>
      <c r="G194" s="5"/>
      <c r="H194" s="5"/>
      <c r="I194" s="5"/>
      <c r="J194" s="5"/>
      <c r="K194" s="5"/>
      <c r="L194" s="5"/>
      <c r="M194" s="5"/>
      <c r="N194" s="5"/>
    </row>
    <row r="195" spans="6:14" s="3" customFormat="1">
      <c r="F195" s="5"/>
      <c r="G195" s="5"/>
      <c r="H195" s="5"/>
      <c r="I195" s="5"/>
      <c r="J195" s="5"/>
      <c r="K195" s="5"/>
      <c r="L195" s="5"/>
      <c r="M195" s="5"/>
      <c r="N195" s="5"/>
    </row>
    <row r="196" spans="6:14" s="3" customFormat="1">
      <c r="F196" s="5"/>
      <c r="G196" s="5"/>
      <c r="H196" s="5"/>
      <c r="I196" s="5"/>
      <c r="J196" s="5"/>
      <c r="K196" s="5"/>
      <c r="L196" s="5"/>
      <c r="M196" s="5"/>
      <c r="N196" s="5"/>
    </row>
    <row r="197" spans="6:14" s="3" customFormat="1">
      <c r="F197" s="5"/>
      <c r="G197" s="5"/>
      <c r="H197" s="5"/>
      <c r="I197" s="5"/>
      <c r="J197" s="5"/>
      <c r="K197" s="5"/>
      <c r="L197" s="5"/>
      <c r="M197" s="5"/>
      <c r="N197" s="5"/>
    </row>
    <row r="198" spans="6:14" s="3" customFormat="1">
      <c r="F198" s="5"/>
      <c r="G198" s="5"/>
      <c r="H198" s="5"/>
      <c r="I198" s="5"/>
      <c r="J198" s="5"/>
      <c r="K198" s="5"/>
      <c r="L198" s="5"/>
      <c r="M198" s="5"/>
      <c r="N198" s="5"/>
    </row>
    <row r="199" spans="6:14" s="3" customFormat="1">
      <c r="F199" s="5"/>
      <c r="G199" s="5"/>
      <c r="H199" s="5"/>
      <c r="I199" s="5"/>
      <c r="J199" s="5"/>
      <c r="K199" s="5"/>
      <c r="L199" s="5"/>
      <c r="M199" s="5"/>
      <c r="N199" s="5"/>
    </row>
    <row r="200" spans="6:14" s="3" customFormat="1">
      <c r="F200" s="5"/>
      <c r="G200" s="5"/>
      <c r="H200" s="5"/>
      <c r="I200" s="5"/>
      <c r="J200" s="5"/>
      <c r="K200" s="5"/>
      <c r="L200" s="5"/>
      <c r="M200" s="5"/>
      <c r="N200" s="5"/>
    </row>
    <row r="201" spans="6:14" s="3" customFormat="1">
      <c r="F201" s="5"/>
      <c r="G201" s="5"/>
      <c r="H201" s="5"/>
      <c r="I201" s="5"/>
      <c r="J201" s="5"/>
      <c r="K201" s="5"/>
      <c r="L201" s="5"/>
      <c r="M201" s="5"/>
      <c r="N201" s="5"/>
    </row>
    <row r="202" spans="6:14" s="3" customFormat="1">
      <c r="F202" s="5"/>
      <c r="G202" s="5"/>
      <c r="H202" s="5"/>
      <c r="I202" s="5"/>
      <c r="J202" s="5"/>
      <c r="K202" s="5"/>
      <c r="L202" s="5"/>
      <c r="M202" s="5"/>
      <c r="N202" s="5"/>
    </row>
    <row r="203" spans="6:14" s="3" customFormat="1">
      <c r="F203" s="5"/>
      <c r="G203" s="5"/>
      <c r="H203" s="5"/>
      <c r="I203" s="5"/>
      <c r="J203" s="5"/>
      <c r="K203" s="5"/>
      <c r="L203" s="5"/>
      <c r="M203" s="5"/>
      <c r="N203" s="5"/>
    </row>
    <row r="204" spans="6:14" s="3" customFormat="1">
      <c r="F204" s="5"/>
      <c r="G204" s="5"/>
      <c r="H204" s="5"/>
      <c r="I204" s="5"/>
      <c r="J204" s="5"/>
      <c r="K204" s="5"/>
      <c r="L204" s="5"/>
      <c r="M204" s="5"/>
      <c r="N204" s="5"/>
    </row>
    <row r="205" spans="6:14" s="3" customFormat="1">
      <c r="F205" s="5"/>
      <c r="G205" s="5"/>
      <c r="H205" s="5"/>
      <c r="I205" s="5"/>
      <c r="J205" s="5"/>
      <c r="K205" s="5"/>
      <c r="L205" s="5"/>
      <c r="M205" s="5"/>
      <c r="N205" s="5"/>
    </row>
    <row r="206" spans="6:14" s="3" customFormat="1">
      <c r="F206" s="5"/>
      <c r="G206" s="5"/>
      <c r="H206" s="5"/>
      <c r="I206" s="5"/>
      <c r="J206" s="5"/>
      <c r="K206" s="5"/>
      <c r="L206" s="5"/>
      <c r="M206" s="5"/>
      <c r="N206" s="5"/>
    </row>
    <row r="207" spans="6:14" s="3" customFormat="1">
      <c r="F207" s="5"/>
      <c r="G207" s="5"/>
      <c r="H207" s="5"/>
      <c r="I207" s="5"/>
      <c r="J207" s="5"/>
      <c r="K207" s="5"/>
      <c r="L207" s="5"/>
      <c r="M207" s="5"/>
      <c r="N207" s="5"/>
    </row>
    <row r="208" spans="6:14" s="3" customFormat="1">
      <c r="F208" s="5"/>
      <c r="G208" s="5"/>
      <c r="H208" s="5"/>
      <c r="I208" s="5"/>
      <c r="J208" s="5"/>
      <c r="K208" s="5"/>
      <c r="L208" s="5"/>
      <c r="M208" s="5"/>
      <c r="N208" s="5"/>
    </row>
    <row r="209" spans="6:14" s="3" customFormat="1">
      <c r="F209" s="5"/>
      <c r="G209" s="5"/>
      <c r="H209" s="5"/>
      <c r="I209" s="5"/>
      <c r="J209" s="5"/>
      <c r="K209" s="5"/>
      <c r="L209" s="5"/>
      <c r="M209" s="5"/>
      <c r="N209" s="5"/>
    </row>
    <row r="210" spans="6:14" s="3" customFormat="1">
      <c r="F210" s="5"/>
      <c r="G210" s="5"/>
      <c r="H210" s="5"/>
      <c r="I210" s="5"/>
      <c r="J210" s="5"/>
      <c r="K210" s="5"/>
      <c r="L210" s="5"/>
      <c r="M210" s="5"/>
      <c r="N210" s="5"/>
    </row>
    <row r="211" spans="6:14" s="3" customFormat="1">
      <c r="F211" s="5"/>
      <c r="G211" s="5"/>
      <c r="H211" s="5"/>
      <c r="I211" s="5"/>
      <c r="J211" s="5"/>
      <c r="K211" s="5"/>
      <c r="L211" s="5"/>
      <c r="M211" s="5"/>
      <c r="N211" s="5"/>
    </row>
    <row r="212" spans="6:14" s="3" customFormat="1">
      <c r="F212" s="5"/>
      <c r="G212" s="5"/>
      <c r="H212" s="5"/>
      <c r="I212" s="5"/>
      <c r="J212" s="5"/>
      <c r="K212" s="5"/>
      <c r="L212" s="5"/>
      <c r="M212" s="5"/>
      <c r="N212" s="5"/>
    </row>
    <row r="213" spans="6:14" s="3" customFormat="1">
      <c r="F213" s="5"/>
      <c r="G213" s="5"/>
      <c r="H213" s="5"/>
      <c r="I213" s="5"/>
      <c r="J213" s="5"/>
      <c r="K213" s="5"/>
      <c r="L213" s="5"/>
      <c r="M213" s="5"/>
      <c r="N213" s="5"/>
    </row>
    <row r="214" spans="6:14" s="3" customFormat="1">
      <c r="F214" s="5"/>
      <c r="G214" s="5"/>
      <c r="H214" s="5"/>
      <c r="I214" s="5"/>
      <c r="J214" s="5"/>
      <c r="K214" s="5"/>
      <c r="L214" s="5"/>
      <c r="M214" s="5"/>
      <c r="N214" s="5"/>
    </row>
    <row r="215" spans="6:14" s="3" customFormat="1">
      <c r="F215" s="5"/>
      <c r="G215" s="5"/>
      <c r="H215" s="5"/>
      <c r="I215" s="5"/>
      <c r="J215" s="5"/>
      <c r="K215" s="5"/>
      <c r="L215" s="5"/>
      <c r="M215" s="5"/>
      <c r="N215" s="5"/>
    </row>
    <row r="216" spans="6:14" s="3" customFormat="1">
      <c r="F216" s="5"/>
      <c r="G216" s="5"/>
      <c r="H216" s="5"/>
      <c r="I216" s="5"/>
      <c r="J216" s="5"/>
      <c r="K216" s="5"/>
      <c r="L216" s="5"/>
      <c r="M216" s="5"/>
      <c r="N216" s="5"/>
    </row>
    <row r="217" spans="6:14" s="3" customFormat="1">
      <c r="F217" s="5"/>
      <c r="G217" s="5"/>
      <c r="H217" s="5"/>
      <c r="I217" s="5"/>
      <c r="J217" s="5"/>
      <c r="K217" s="5"/>
      <c r="L217" s="5"/>
      <c r="M217" s="5"/>
      <c r="N217" s="5"/>
    </row>
    <row r="218" spans="6:14" s="3" customFormat="1">
      <c r="F218" s="5"/>
      <c r="G218" s="5"/>
      <c r="H218" s="5"/>
      <c r="I218" s="5"/>
      <c r="J218" s="5"/>
      <c r="K218" s="5"/>
      <c r="L218" s="5"/>
      <c r="M218" s="5"/>
      <c r="N218" s="5"/>
    </row>
    <row r="219" spans="6:14" s="3" customFormat="1">
      <c r="F219" s="5"/>
      <c r="G219" s="5"/>
      <c r="H219" s="5"/>
      <c r="I219" s="5"/>
      <c r="J219" s="5"/>
      <c r="K219" s="5"/>
      <c r="L219" s="5"/>
      <c r="M219" s="5"/>
      <c r="N219" s="5"/>
    </row>
    <row r="220" spans="6:14" s="3" customFormat="1">
      <c r="F220" s="5"/>
      <c r="G220" s="5"/>
      <c r="H220" s="5"/>
      <c r="I220" s="5"/>
      <c r="J220" s="5"/>
      <c r="K220" s="5"/>
      <c r="L220" s="5"/>
      <c r="M220" s="5"/>
      <c r="N220" s="5"/>
    </row>
    <row r="221" spans="6:14" s="3" customFormat="1">
      <c r="F221" s="5"/>
      <c r="G221" s="5"/>
      <c r="H221" s="5"/>
      <c r="I221" s="5"/>
      <c r="J221" s="5"/>
      <c r="K221" s="5"/>
      <c r="L221" s="5"/>
      <c r="M221" s="5"/>
      <c r="N221" s="5"/>
    </row>
    <row r="222" spans="6:14" s="3" customFormat="1">
      <c r="F222" s="5"/>
      <c r="G222" s="5"/>
      <c r="H222" s="5"/>
      <c r="I222" s="5"/>
      <c r="J222" s="5"/>
      <c r="K222" s="5"/>
      <c r="L222" s="5"/>
      <c r="M222" s="5"/>
      <c r="N222" s="5"/>
    </row>
    <row r="223" spans="6:14" s="3" customFormat="1">
      <c r="F223" s="5"/>
      <c r="G223" s="5"/>
      <c r="H223" s="5"/>
      <c r="I223" s="5"/>
      <c r="J223" s="5"/>
      <c r="K223" s="5"/>
      <c r="L223" s="5"/>
      <c r="M223" s="5"/>
      <c r="N223" s="5"/>
    </row>
    <row r="224" spans="6:14" s="3" customFormat="1">
      <c r="F224" s="5"/>
      <c r="G224" s="5"/>
      <c r="H224" s="5"/>
      <c r="I224" s="5"/>
      <c r="J224" s="5"/>
      <c r="K224" s="5"/>
      <c r="L224" s="5"/>
      <c r="M224" s="5"/>
      <c r="N224" s="5"/>
    </row>
    <row r="225" spans="6:14" s="3" customFormat="1">
      <c r="F225" s="5"/>
      <c r="G225" s="5"/>
      <c r="H225" s="5"/>
      <c r="I225" s="5"/>
      <c r="J225" s="5"/>
      <c r="K225" s="5"/>
      <c r="L225" s="5"/>
      <c r="M225" s="5"/>
      <c r="N225" s="5"/>
    </row>
    <row r="226" spans="6:14" s="3" customFormat="1">
      <c r="F226" s="5"/>
      <c r="G226" s="5"/>
      <c r="H226" s="5"/>
      <c r="I226" s="5"/>
      <c r="J226" s="5"/>
      <c r="K226" s="5"/>
      <c r="L226" s="5"/>
      <c r="M226" s="5"/>
      <c r="N226" s="5"/>
    </row>
    <row r="227" spans="6:14" s="3" customFormat="1">
      <c r="F227" s="5"/>
      <c r="G227" s="5"/>
      <c r="H227" s="5"/>
      <c r="I227" s="5"/>
      <c r="J227" s="5"/>
      <c r="K227" s="5"/>
      <c r="L227" s="5"/>
      <c r="M227" s="5"/>
      <c r="N227" s="5"/>
    </row>
    <row r="228" spans="6:14" s="3" customFormat="1">
      <c r="F228" s="5"/>
      <c r="G228" s="5"/>
      <c r="H228" s="5"/>
      <c r="I228" s="5"/>
      <c r="J228" s="5"/>
      <c r="K228" s="5"/>
      <c r="L228" s="5"/>
      <c r="M228" s="5"/>
      <c r="N228" s="5"/>
    </row>
    <row r="229" spans="6:14" s="3" customFormat="1">
      <c r="F229" s="5"/>
      <c r="G229" s="5"/>
      <c r="H229" s="5"/>
      <c r="I229" s="5"/>
      <c r="J229" s="5"/>
      <c r="K229" s="5"/>
      <c r="L229" s="5"/>
      <c r="M229" s="5"/>
      <c r="N229" s="5"/>
    </row>
    <row r="230" spans="6:14" s="3" customFormat="1">
      <c r="F230" s="5"/>
      <c r="G230" s="5"/>
      <c r="H230" s="5"/>
      <c r="I230" s="5"/>
      <c r="J230" s="5"/>
      <c r="K230" s="5"/>
      <c r="L230" s="5"/>
      <c r="M230" s="5"/>
      <c r="N230" s="5"/>
    </row>
    <row r="231" spans="6:14" s="3" customFormat="1">
      <c r="F231" s="5"/>
      <c r="G231" s="5"/>
      <c r="H231" s="5"/>
      <c r="I231" s="5"/>
      <c r="J231" s="5"/>
      <c r="K231" s="5"/>
      <c r="L231" s="5"/>
      <c r="M231" s="5"/>
      <c r="N231" s="5"/>
    </row>
    <row r="232" spans="6:14" s="3" customFormat="1">
      <c r="F232" s="5"/>
      <c r="G232" s="5"/>
      <c r="H232" s="5"/>
      <c r="I232" s="5"/>
      <c r="J232" s="5"/>
      <c r="K232" s="5"/>
      <c r="L232" s="5"/>
      <c r="M232" s="5"/>
      <c r="N232" s="5"/>
    </row>
    <row r="233" spans="6:14" s="3" customFormat="1">
      <c r="F233" s="5"/>
      <c r="G233" s="5"/>
      <c r="H233" s="5"/>
      <c r="I233" s="5"/>
      <c r="J233" s="5"/>
      <c r="K233" s="5"/>
      <c r="L233" s="5"/>
      <c r="M233" s="5"/>
      <c r="N233" s="5"/>
    </row>
    <row r="234" spans="6:14" s="3" customFormat="1">
      <c r="F234" s="5"/>
      <c r="G234" s="5"/>
      <c r="H234" s="5"/>
      <c r="I234" s="5"/>
      <c r="J234" s="5"/>
      <c r="K234" s="5"/>
      <c r="L234" s="5"/>
      <c r="M234" s="5"/>
      <c r="N234" s="5"/>
    </row>
    <row r="235" spans="6:14" s="3" customFormat="1">
      <c r="F235" s="5"/>
      <c r="G235" s="5"/>
      <c r="H235" s="5"/>
      <c r="I235" s="5"/>
      <c r="J235" s="5"/>
      <c r="K235" s="5"/>
      <c r="L235" s="5"/>
      <c r="M235" s="5"/>
      <c r="N235" s="5"/>
    </row>
    <row r="236" spans="6:14" s="3" customFormat="1">
      <c r="F236" s="5"/>
      <c r="G236" s="5"/>
      <c r="H236" s="5"/>
      <c r="I236" s="5"/>
      <c r="J236" s="5"/>
      <c r="K236" s="5"/>
      <c r="L236" s="5"/>
      <c r="M236" s="5"/>
      <c r="N236" s="5"/>
    </row>
    <row r="237" spans="6:14" s="3" customFormat="1">
      <c r="F237" s="5"/>
      <c r="G237" s="5"/>
      <c r="H237" s="5"/>
      <c r="I237" s="5"/>
      <c r="J237" s="5"/>
      <c r="K237" s="5"/>
      <c r="L237" s="5"/>
      <c r="M237" s="5"/>
      <c r="N237" s="5"/>
    </row>
  </sheetData>
  <mergeCells count="2">
    <mergeCell ref="A2:N2"/>
    <mergeCell ref="A3:N3"/>
  </mergeCells>
  <pageMargins left="0.7" right="0.7" top="0.75" bottom="0.75" header="0.3" footer="0.3"/>
  <pageSetup paperSize="9" scale="9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FF00"/>
  </sheetPr>
  <dimension ref="A1:DI79"/>
  <sheetViews>
    <sheetView view="pageBreakPreview" zoomScaleSheetLayoutView="100" workbookViewId="0">
      <pane xSplit="2" ySplit="5" topLeftCell="C6" activePane="bottomRight" state="frozen"/>
      <selection activeCell="E49" sqref="E49"/>
      <selection pane="topRight" activeCell="E49" sqref="E49"/>
      <selection pane="bottomLeft" activeCell="E49" sqref="E49"/>
      <selection pane="bottomRight" activeCell="CO23" sqref="CO23"/>
    </sheetView>
  </sheetViews>
  <sheetFormatPr defaultColWidth="9.140625" defaultRowHeight="12.75"/>
  <cols>
    <col min="1" max="1" width="6.140625" style="500" customWidth="1"/>
    <col min="2" max="2" width="51.5703125" style="121" customWidth="1"/>
    <col min="3" max="4" width="14" style="564" customWidth="1"/>
    <col min="5" max="5" width="12.42578125" style="564" customWidth="1"/>
    <col min="6" max="7" width="12.42578125" style="637" customWidth="1"/>
    <col min="8" max="8" width="11.42578125" style="564" customWidth="1"/>
    <col min="9" max="9" width="8.42578125" style="564" hidden="1" customWidth="1"/>
    <col min="10" max="10" width="7.85546875" style="564" hidden="1" customWidth="1"/>
    <col min="11" max="11" width="8.140625" style="575" hidden="1" customWidth="1"/>
    <col min="12" max="12" width="8.140625" style="564" hidden="1" customWidth="1"/>
    <col min="13" max="13" width="9.5703125" style="567" hidden="1" customWidth="1"/>
    <col min="14" max="14" width="9.5703125" style="577" hidden="1" customWidth="1"/>
    <col min="15" max="15" width="11.140625" style="616" hidden="1" customWidth="1"/>
    <col min="16" max="16" width="11" style="617" hidden="1" customWidth="1"/>
    <col min="17" max="20" width="11" style="564" hidden="1" customWidth="1"/>
    <col min="21" max="21" width="11" style="567" hidden="1" customWidth="1"/>
    <col min="22" max="22" width="11" style="577" hidden="1" customWidth="1"/>
    <col min="23" max="23" width="11" style="616" hidden="1" customWidth="1"/>
    <col min="24" max="24" width="11" style="617" hidden="1" customWidth="1"/>
    <col min="25" max="28" width="9.140625" style="564" hidden="1" customWidth="1"/>
    <col min="29" max="29" width="9.42578125" style="567" hidden="1" customWidth="1"/>
    <col min="30" max="30" width="9.140625" style="577" hidden="1" customWidth="1"/>
    <col min="31" max="31" width="9.140625" style="616" hidden="1" customWidth="1"/>
    <col min="32" max="32" width="9.140625" style="617" hidden="1" customWidth="1"/>
    <col min="33" max="36" width="9.140625" style="564" hidden="1" customWidth="1"/>
    <col min="37" max="37" width="9.140625" style="567" hidden="1" customWidth="1"/>
    <col min="38" max="38" width="9.140625" style="577" hidden="1" customWidth="1"/>
    <col min="39" max="39" width="9.140625" style="616" hidden="1" customWidth="1"/>
    <col min="40" max="40" width="9.140625" style="617" hidden="1" customWidth="1"/>
    <col min="41" max="44" width="9.140625" style="564" hidden="1" customWidth="1"/>
    <col min="45" max="45" width="9.140625" style="567" hidden="1" customWidth="1"/>
    <col min="46" max="46" width="9.140625" style="577" hidden="1" customWidth="1"/>
    <col min="47" max="47" width="9.140625" style="616" hidden="1" customWidth="1"/>
    <col min="48" max="48" width="9.140625" style="617" hidden="1" customWidth="1"/>
    <col min="49" max="52" width="9.140625" style="564" hidden="1" customWidth="1"/>
    <col min="53" max="53" width="9.140625" style="567" hidden="1" customWidth="1"/>
    <col min="54" max="54" width="9.140625" style="577" hidden="1" customWidth="1"/>
    <col min="55" max="55" width="9.140625" style="616" hidden="1" customWidth="1"/>
    <col min="56" max="56" width="9.140625" style="617" hidden="1" customWidth="1"/>
    <col min="57" max="60" width="9.140625" style="564" hidden="1" customWidth="1"/>
    <col min="61" max="61" width="9.140625" style="567" hidden="1" customWidth="1"/>
    <col min="62" max="62" width="9.140625" style="577" hidden="1" customWidth="1"/>
    <col min="63" max="63" width="9.140625" style="616" hidden="1" customWidth="1"/>
    <col min="64" max="64" width="9.140625" style="617" hidden="1" customWidth="1"/>
    <col min="65" max="68" width="9.140625" style="564" hidden="1" customWidth="1"/>
    <col min="69" max="69" width="9.140625" style="567" hidden="1" customWidth="1"/>
    <col min="70" max="70" width="9.140625" style="577" hidden="1" customWidth="1"/>
    <col min="71" max="71" width="9.140625" style="616" hidden="1" customWidth="1"/>
    <col min="72" max="72" width="9.140625" style="617" hidden="1" customWidth="1"/>
    <col min="73" max="76" width="9.140625" style="564" hidden="1" customWidth="1"/>
    <col min="77" max="77" width="9.42578125" style="567" hidden="1" customWidth="1"/>
    <col min="78" max="78" width="9.140625" style="577" hidden="1" customWidth="1"/>
    <col min="79" max="79" width="9.140625" style="616" hidden="1" customWidth="1"/>
    <col min="80" max="80" width="9.140625" style="617" hidden="1" customWidth="1"/>
    <col min="81" max="84" width="9.140625" style="564" customWidth="1"/>
    <col min="85" max="85" width="9.140625" style="567" customWidth="1"/>
    <col min="86" max="86" width="9.140625" style="577" customWidth="1"/>
    <col min="87" max="87" width="9.140625" style="616" customWidth="1"/>
    <col min="88" max="88" width="9.140625" style="617" customWidth="1"/>
    <col min="89" max="92" width="9.140625" style="564" customWidth="1"/>
    <col min="93" max="93" width="9.140625" style="567" customWidth="1"/>
    <col min="94" max="94" width="9.140625" style="577" customWidth="1"/>
    <col min="95" max="95" width="9.140625" style="616" customWidth="1"/>
    <col min="96" max="96" width="9.140625" style="617" customWidth="1"/>
    <col min="97" max="100" width="9.140625" style="564" customWidth="1"/>
    <col min="101" max="101" width="9.42578125" style="567" customWidth="1"/>
    <col min="102" max="102" width="9.140625" style="577" customWidth="1"/>
    <col min="103" max="103" width="9.140625" style="616" customWidth="1"/>
    <col min="104" max="104" width="9.140625" style="617" customWidth="1"/>
    <col min="105" max="105" width="9.140625" style="587"/>
    <col min="106" max="106" width="9.140625" style="595"/>
    <col min="107" max="107" width="9.140625" style="587"/>
    <col min="108" max="108" width="9.140625" style="595"/>
    <col min="109" max="111" width="9.140625" style="121"/>
    <col min="112" max="112" width="9.140625" style="657"/>
    <col min="113" max="16384" width="9.140625" style="121"/>
  </cols>
  <sheetData>
    <row r="1" spans="1:113" s="504" customFormat="1">
      <c r="A1" s="690" t="s">
        <v>89</v>
      </c>
      <c r="B1" s="690"/>
      <c r="C1" s="690"/>
      <c r="D1" s="690"/>
      <c r="E1" s="690"/>
      <c r="F1" s="690"/>
      <c r="G1" s="691"/>
      <c r="H1" s="690"/>
      <c r="I1" s="551"/>
      <c r="J1" s="551"/>
      <c r="K1" s="574"/>
      <c r="L1" s="551"/>
      <c r="M1" s="566"/>
      <c r="N1" s="576"/>
      <c r="O1" s="614"/>
      <c r="P1" s="615"/>
      <c r="Q1" s="551"/>
      <c r="R1" s="551"/>
      <c r="S1" s="551"/>
      <c r="T1" s="551"/>
      <c r="U1" s="566"/>
      <c r="V1" s="576"/>
      <c r="W1" s="614"/>
      <c r="X1" s="615"/>
      <c r="Y1" s="551"/>
      <c r="Z1" s="551"/>
      <c r="AA1" s="551"/>
      <c r="AB1" s="551"/>
      <c r="AC1" s="566"/>
      <c r="AD1" s="576"/>
      <c r="AE1" s="614"/>
      <c r="AF1" s="615"/>
      <c r="AG1" s="551"/>
      <c r="AH1" s="551"/>
      <c r="AI1" s="551"/>
      <c r="AJ1" s="551"/>
      <c r="AK1" s="566"/>
      <c r="AL1" s="576"/>
      <c r="AM1" s="614"/>
      <c r="AN1" s="615"/>
      <c r="AO1" s="551"/>
      <c r="AP1" s="551"/>
      <c r="AQ1" s="551"/>
      <c r="AR1" s="551"/>
      <c r="AS1" s="566"/>
      <c r="AT1" s="576"/>
      <c r="AU1" s="614"/>
      <c r="AV1" s="615"/>
      <c r="AW1" s="551"/>
      <c r="AX1" s="551"/>
      <c r="AY1" s="551"/>
      <c r="AZ1" s="551"/>
      <c r="BA1" s="566"/>
      <c r="BB1" s="576"/>
      <c r="BC1" s="614"/>
      <c r="BD1" s="615"/>
      <c r="BE1" s="551"/>
      <c r="BF1" s="551"/>
      <c r="BG1" s="551"/>
      <c r="BH1" s="551"/>
      <c r="BI1" s="566"/>
      <c r="BJ1" s="576"/>
      <c r="BK1" s="614"/>
      <c r="BL1" s="615"/>
      <c r="BM1" s="551"/>
      <c r="BN1" s="551"/>
      <c r="BO1" s="551"/>
      <c r="BP1" s="551"/>
      <c r="BQ1" s="566"/>
      <c r="BR1" s="576"/>
      <c r="BS1" s="614"/>
      <c r="BT1" s="615"/>
      <c r="BU1" s="551"/>
      <c r="BV1" s="551"/>
      <c r="BW1" s="551"/>
      <c r="BX1" s="551"/>
      <c r="BY1" s="566"/>
      <c r="BZ1" s="576"/>
      <c r="CA1" s="614"/>
      <c r="CB1" s="615"/>
      <c r="CC1" s="551"/>
      <c r="CD1" s="551"/>
      <c r="CE1" s="551"/>
      <c r="CF1" s="551"/>
      <c r="CG1" s="566"/>
      <c r="CH1" s="576"/>
      <c r="CI1" s="614"/>
      <c r="CJ1" s="615"/>
      <c r="CK1" s="551"/>
      <c r="CL1" s="551"/>
      <c r="CM1" s="551"/>
      <c r="CN1" s="551"/>
      <c r="CO1" s="566"/>
      <c r="CP1" s="576"/>
      <c r="CQ1" s="614"/>
      <c r="CR1" s="615"/>
      <c r="CS1" s="551"/>
      <c r="CT1" s="551"/>
      <c r="CU1" s="551"/>
      <c r="CV1" s="551"/>
      <c r="CW1" s="566"/>
      <c r="CX1" s="576"/>
      <c r="CY1" s="614"/>
      <c r="CZ1" s="615"/>
      <c r="DA1" s="586"/>
      <c r="DB1" s="594"/>
      <c r="DC1" s="586"/>
      <c r="DD1" s="594"/>
      <c r="DH1" s="655"/>
    </row>
    <row r="2" spans="1:113" s="317" customFormat="1">
      <c r="A2" s="692" t="s">
        <v>698</v>
      </c>
      <c r="B2" s="692"/>
      <c r="C2" s="692"/>
      <c r="D2" s="692"/>
      <c r="E2" s="692"/>
      <c r="F2" s="692"/>
      <c r="G2" s="693"/>
      <c r="H2" s="692"/>
      <c r="I2" s="552"/>
      <c r="J2" s="552"/>
      <c r="K2" s="575"/>
      <c r="L2" s="552"/>
      <c r="M2" s="567"/>
      <c r="N2" s="577"/>
      <c r="O2" s="616"/>
      <c r="P2" s="617"/>
      <c r="Q2" s="552"/>
      <c r="R2" s="552"/>
      <c r="S2" s="552"/>
      <c r="T2" s="552"/>
      <c r="U2" s="567"/>
      <c r="V2" s="577"/>
      <c r="W2" s="616"/>
      <c r="X2" s="617"/>
      <c r="Y2" s="552"/>
      <c r="Z2" s="552"/>
      <c r="AA2" s="552"/>
      <c r="AB2" s="552"/>
      <c r="AC2" s="567"/>
      <c r="AD2" s="577"/>
      <c r="AE2" s="616"/>
      <c r="AF2" s="617"/>
      <c r="AG2" s="552"/>
      <c r="AH2" s="552"/>
      <c r="AI2" s="552"/>
      <c r="AJ2" s="552"/>
      <c r="AK2" s="567"/>
      <c r="AL2" s="577"/>
      <c r="AM2" s="616"/>
      <c r="AN2" s="617"/>
      <c r="AO2" s="552"/>
      <c r="AP2" s="552"/>
      <c r="AQ2" s="552"/>
      <c r="AR2" s="552"/>
      <c r="AS2" s="567"/>
      <c r="AT2" s="577"/>
      <c r="AU2" s="616"/>
      <c r="AV2" s="617"/>
      <c r="AW2" s="552"/>
      <c r="AX2" s="552"/>
      <c r="AY2" s="552"/>
      <c r="AZ2" s="552"/>
      <c r="BA2" s="567"/>
      <c r="BB2" s="577"/>
      <c r="BC2" s="616"/>
      <c r="BD2" s="617"/>
      <c r="BE2" s="552"/>
      <c r="BF2" s="552"/>
      <c r="BG2" s="552"/>
      <c r="BH2" s="552"/>
      <c r="BI2" s="567"/>
      <c r="BJ2" s="577"/>
      <c r="BK2" s="616"/>
      <c r="BL2" s="617"/>
      <c r="BM2" s="552"/>
      <c r="BN2" s="552"/>
      <c r="BO2" s="552"/>
      <c r="BP2" s="552"/>
      <c r="BQ2" s="567"/>
      <c r="BR2" s="577"/>
      <c r="BS2" s="616"/>
      <c r="BT2" s="617"/>
      <c r="BU2" s="552"/>
      <c r="BV2" s="552"/>
      <c r="BW2" s="552"/>
      <c r="BX2" s="552"/>
      <c r="BY2" s="567"/>
      <c r="BZ2" s="577"/>
      <c r="CA2" s="616"/>
      <c r="CB2" s="617"/>
      <c r="CC2" s="552"/>
      <c r="CD2" s="552"/>
      <c r="CE2" s="552"/>
      <c r="CF2" s="552"/>
      <c r="CG2" s="567"/>
      <c r="CH2" s="577"/>
      <c r="CI2" s="616"/>
      <c r="CJ2" s="617"/>
      <c r="CK2" s="552"/>
      <c r="CL2" s="552"/>
      <c r="CM2" s="552"/>
      <c r="CN2" s="552"/>
      <c r="CO2" s="567"/>
      <c r="CP2" s="577"/>
      <c r="CQ2" s="616"/>
      <c r="CR2" s="617"/>
      <c r="CS2" s="552"/>
      <c r="CT2" s="552"/>
      <c r="CU2" s="552"/>
      <c r="CV2" s="552"/>
      <c r="CW2" s="567"/>
      <c r="CX2" s="577"/>
      <c r="CY2" s="616"/>
      <c r="CZ2" s="617"/>
      <c r="DA2" s="587"/>
      <c r="DB2" s="595"/>
      <c r="DC2" s="587"/>
      <c r="DD2" s="595"/>
      <c r="DH2" s="656"/>
    </row>
    <row r="3" spans="1:113" s="317" customFormat="1">
      <c r="A3" s="496"/>
      <c r="B3" s="496"/>
      <c r="C3" s="496"/>
      <c r="D3" s="496"/>
      <c r="E3" s="496"/>
      <c r="F3" s="630"/>
      <c r="G3" s="630"/>
      <c r="H3" s="496" t="s">
        <v>458</v>
      </c>
      <c r="I3" s="552"/>
      <c r="J3" s="552"/>
      <c r="K3" s="575"/>
      <c r="L3" s="552"/>
      <c r="M3" s="567"/>
      <c r="N3" s="577"/>
      <c r="O3" s="616"/>
      <c r="P3" s="617"/>
      <c r="Q3" s="552"/>
      <c r="R3" s="552"/>
      <c r="S3" s="552"/>
      <c r="T3" s="552"/>
      <c r="U3" s="567"/>
      <c r="V3" s="577"/>
      <c r="W3" s="616"/>
      <c r="X3" s="617"/>
      <c r="Y3" s="552"/>
      <c r="Z3" s="552"/>
      <c r="AA3" s="552"/>
      <c r="AB3" s="552"/>
      <c r="AC3" s="567"/>
      <c r="AD3" s="577"/>
      <c r="AE3" s="616"/>
      <c r="AF3" s="617"/>
      <c r="AG3" s="552"/>
      <c r="AH3" s="552"/>
      <c r="AI3" s="552"/>
      <c r="AJ3" s="552"/>
      <c r="AK3" s="567"/>
      <c r="AL3" s="577"/>
      <c r="AM3" s="616"/>
      <c r="AN3" s="617"/>
      <c r="AO3" s="552"/>
      <c r="AP3" s="552"/>
      <c r="AQ3" s="552"/>
      <c r="AR3" s="552"/>
      <c r="AS3" s="567"/>
      <c r="AT3" s="577"/>
      <c r="AU3" s="616"/>
      <c r="AV3" s="617"/>
      <c r="AW3" s="552"/>
      <c r="AX3" s="552"/>
      <c r="AY3" s="552"/>
      <c r="AZ3" s="552"/>
      <c r="BA3" s="567"/>
      <c r="BB3" s="577"/>
      <c r="BC3" s="616"/>
      <c r="BD3" s="617"/>
      <c r="BE3" s="552"/>
      <c r="BF3" s="552"/>
      <c r="BG3" s="552"/>
      <c r="BH3" s="552"/>
      <c r="BI3" s="567"/>
      <c r="BJ3" s="577"/>
      <c r="BK3" s="616"/>
      <c r="BL3" s="617"/>
      <c r="BM3" s="552"/>
      <c r="BN3" s="552"/>
      <c r="BO3" s="552"/>
      <c r="BP3" s="552"/>
      <c r="BQ3" s="567"/>
      <c r="BR3" s="577"/>
      <c r="BS3" s="616"/>
      <c r="BT3" s="617"/>
      <c r="BU3" s="552"/>
      <c r="BV3" s="552"/>
      <c r="BW3" s="552"/>
      <c r="BX3" s="552"/>
      <c r="BY3" s="567"/>
      <c r="BZ3" s="577"/>
      <c r="CA3" s="616"/>
      <c r="CB3" s="617"/>
      <c r="CC3" s="552"/>
      <c r="CD3" s="552"/>
      <c r="CE3" s="552"/>
      <c r="CF3" s="552"/>
      <c r="CG3" s="567"/>
      <c r="CH3" s="577"/>
      <c r="CI3" s="616"/>
      <c r="CJ3" s="617"/>
      <c r="CK3" s="552"/>
      <c r="CL3" s="552"/>
      <c r="CM3" s="552"/>
      <c r="CN3" s="552"/>
      <c r="CO3" s="567"/>
      <c r="CP3" s="577"/>
      <c r="CQ3" s="616"/>
      <c r="CR3" s="617"/>
      <c r="CS3" s="552"/>
      <c r="CT3" s="552"/>
      <c r="CU3" s="552"/>
      <c r="CV3" s="552"/>
      <c r="CW3" s="567"/>
      <c r="CX3" s="577"/>
      <c r="CY3" s="616"/>
      <c r="CZ3" s="617"/>
      <c r="DA3" s="587"/>
      <c r="DB3" s="595"/>
      <c r="DC3" s="587"/>
      <c r="DD3" s="595"/>
      <c r="DH3" s="656"/>
    </row>
    <row r="4" spans="1:113" ht="51" customHeight="1">
      <c r="A4" s="232" t="s">
        <v>67</v>
      </c>
      <c r="B4" s="156" t="s">
        <v>49</v>
      </c>
      <c r="C4" s="681" t="s">
        <v>126</v>
      </c>
      <c r="D4" s="681" t="s">
        <v>401</v>
      </c>
      <c r="E4" s="694" t="s">
        <v>704</v>
      </c>
      <c r="F4" s="696" t="s">
        <v>705</v>
      </c>
      <c r="G4" s="696" t="s">
        <v>706</v>
      </c>
      <c r="H4" s="698" t="s">
        <v>707</v>
      </c>
      <c r="I4" s="700" t="s">
        <v>708</v>
      </c>
      <c r="J4" s="701"/>
      <c r="K4" s="701"/>
      <c r="L4" s="701"/>
      <c r="M4" s="702"/>
      <c r="N4" s="703"/>
      <c r="O4" s="704"/>
      <c r="P4" s="706"/>
      <c r="Q4" s="700" t="s">
        <v>709</v>
      </c>
      <c r="R4" s="701"/>
      <c r="S4" s="701"/>
      <c r="T4" s="701"/>
      <c r="U4" s="702"/>
      <c r="V4" s="703"/>
      <c r="W4" s="704"/>
      <c r="X4" s="706"/>
      <c r="Y4" s="700" t="s">
        <v>710</v>
      </c>
      <c r="Z4" s="701"/>
      <c r="AA4" s="701"/>
      <c r="AB4" s="701"/>
      <c r="AC4" s="702"/>
      <c r="AD4" s="703"/>
      <c r="AE4" s="704"/>
      <c r="AF4" s="705"/>
      <c r="AG4" s="700" t="s">
        <v>711</v>
      </c>
      <c r="AH4" s="701"/>
      <c r="AI4" s="701"/>
      <c r="AJ4" s="701"/>
      <c r="AK4" s="702"/>
      <c r="AL4" s="703"/>
      <c r="AM4" s="704"/>
      <c r="AN4" s="705"/>
      <c r="AO4" s="700" t="s">
        <v>712</v>
      </c>
      <c r="AP4" s="701"/>
      <c r="AQ4" s="701"/>
      <c r="AR4" s="701"/>
      <c r="AS4" s="702"/>
      <c r="AT4" s="703"/>
      <c r="AU4" s="704"/>
      <c r="AV4" s="705"/>
      <c r="AW4" s="700" t="s">
        <v>713</v>
      </c>
      <c r="AX4" s="701"/>
      <c r="AY4" s="701"/>
      <c r="AZ4" s="701"/>
      <c r="BA4" s="702"/>
      <c r="BB4" s="703"/>
      <c r="BC4" s="704"/>
      <c r="BD4" s="705"/>
      <c r="BE4" s="700" t="s">
        <v>714</v>
      </c>
      <c r="BF4" s="701"/>
      <c r="BG4" s="701"/>
      <c r="BH4" s="701"/>
      <c r="BI4" s="702"/>
      <c r="BJ4" s="703"/>
      <c r="BK4" s="704"/>
      <c r="BL4" s="705"/>
      <c r="BM4" s="700" t="s">
        <v>715</v>
      </c>
      <c r="BN4" s="701"/>
      <c r="BO4" s="701"/>
      <c r="BP4" s="701"/>
      <c r="BQ4" s="702"/>
      <c r="BR4" s="703"/>
      <c r="BS4" s="704"/>
      <c r="BT4" s="705"/>
      <c r="BU4" s="700" t="s">
        <v>716</v>
      </c>
      <c r="BV4" s="701"/>
      <c r="BW4" s="701"/>
      <c r="BX4" s="701"/>
      <c r="BY4" s="702"/>
      <c r="BZ4" s="703"/>
      <c r="CA4" s="704"/>
      <c r="CB4" s="705"/>
      <c r="CC4" s="700" t="s">
        <v>717</v>
      </c>
      <c r="CD4" s="701"/>
      <c r="CE4" s="701"/>
      <c r="CF4" s="701"/>
      <c r="CG4" s="702"/>
      <c r="CH4" s="703"/>
      <c r="CI4" s="704"/>
      <c r="CJ4" s="705"/>
      <c r="CK4" s="700" t="s">
        <v>718</v>
      </c>
      <c r="CL4" s="701"/>
      <c r="CM4" s="701"/>
      <c r="CN4" s="701"/>
      <c r="CO4" s="702"/>
      <c r="CP4" s="703"/>
      <c r="CQ4" s="704"/>
      <c r="CR4" s="705"/>
      <c r="CS4" s="700" t="s">
        <v>719</v>
      </c>
      <c r="CT4" s="701"/>
      <c r="CU4" s="701"/>
      <c r="CV4" s="701"/>
      <c r="CW4" s="702"/>
      <c r="CX4" s="703"/>
      <c r="CY4" s="704"/>
      <c r="CZ4" s="705"/>
    </row>
    <row r="5" spans="1:113" ht="35.25" customHeight="1">
      <c r="A5" s="211"/>
      <c r="B5" s="122"/>
      <c r="C5" s="120"/>
      <c r="D5" s="120"/>
      <c r="E5" s="695"/>
      <c r="F5" s="697"/>
      <c r="G5" s="697"/>
      <c r="H5" s="699"/>
      <c r="I5" s="522" t="s">
        <v>692</v>
      </c>
      <c r="J5" s="522" t="s">
        <v>694</v>
      </c>
      <c r="K5" s="522" t="s">
        <v>693</v>
      </c>
      <c r="L5" s="522" t="s">
        <v>695</v>
      </c>
      <c r="M5" s="568" t="s">
        <v>750</v>
      </c>
      <c r="N5" s="578" t="s">
        <v>751</v>
      </c>
      <c r="O5" s="618" t="s">
        <v>696</v>
      </c>
      <c r="P5" s="619" t="s">
        <v>697</v>
      </c>
      <c r="Q5" s="522" t="s">
        <v>692</v>
      </c>
      <c r="R5" s="522" t="s">
        <v>694</v>
      </c>
      <c r="S5" s="522" t="s">
        <v>693</v>
      </c>
      <c r="T5" s="522" t="s">
        <v>695</v>
      </c>
      <c r="U5" s="568" t="s">
        <v>750</v>
      </c>
      <c r="V5" s="578" t="s">
        <v>751</v>
      </c>
      <c r="W5" s="618" t="s">
        <v>696</v>
      </c>
      <c r="X5" s="619" t="s">
        <v>697</v>
      </c>
      <c r="Y5" s="522" t="s">
        <v>692</v>
      </c>
      <c r="Z5" s="522" t="s">
        <v>694</v>
      </c>
      <c r="AA5" s="522" t="s">
        <v>693</v>
      </c>
      <c r="AB5" s="522" t="s">
        <v>695</v>
      </c>
      <c r="AC5" s="568" t="s">
        <v>750</v>
      </c>
      <c r="AD5" s="578" t="s">
        <v>751</v>
      </c>
      <c r="AE5" s="618" t="s">
        <v>696</v>
      </c>
      <c r="AF5" s="619" t="s">
        <v>697</v>
      </c>
      <c r="AG5" s="522" t="s">
        <v>692</v>
      </c>
      <c r="AH5" s="522" t="s">
        <v>694</v>
      </c>
      <c r="AI5" s="522" t="s">
        <v>693</v>
      </c>
      <c r="AJ5" s="522" t="s">
        <v>695</v>
      </c>
      <c r="AK5" s="568" t="s">
        <v>750</v>
      </c>
      <c r="AL5" s="578" t="s">
        <v>751</v>
      </c>
      <c r="AM5" s="618" t="s">
        <v>696</v>
      </c>
      <c r="AN5" s="619" t="s">
        <v>697</v>
      </c>
      <c r="AO5" s="522" t="s">
        <v>692</v>
      </c>
      <c r="AP5" s="522" t="s">
        <v>694</v>
      </c>
      <c r="AQ5" s="522" t="s">
        <v>693</v>
      </c>
      <c r="AR5" s="522" t="s">
        <v>695</v>
      </c>
      <c r="AS5" s="568" t="s">
        <v>750</v>
      </c>
      <c r="AT5" s="578" t="s">
        <v>751</v>
      </c>
      <c r="AU5" s="618" t="s">
        <v>696</v>
      </c>
      <c r="AV5" s="619" t="s">
        <v>697</v>
      </c>
      <c r="AW5" s="522" t="s">
        <v>692</v>
      </c>
      <c r="AX5" s="522" t="s">
        <v>694</v>
      </c>
      <c r="AY5" s="522" t="s">
        <v>693</v>
      </c>
      <c r="AZ5" s="522" t="s">
        <v>695</v>
      </c>
      <c r="BA5" s="568" t="s">
        <v>750</v>
      </c>
      <c r="BB5" s="578" t="s">
        <v>751</v>
      </c>
      <c r="BC5" s="618" t="s">
        <v>696</v>
      </c>
      <c r="BD5" s="619" t="s">
        <v>697</v>
      </c>
      <c r="BE5" s="522" t="s">
        <v>692</v>
      </c>
      <c r="BF5" s="522" t="s">
        <v>694</v>
      </c>
      <c r="BG5" s="522" t="s">
        <v>693</v>
      </c>
      <c r="BH5" s="522" t="s">
        <v>695</v>
      </c>
      <c r="BI5" s="568" t="s">
        <v>750</v>
      </c>
      <c r="BJ5" s="578" t="s">
        <v>751</v>
      </c>
      <c r="BK5" s="618" t="s">
        <v>696</v>
      </c>
      <c r="BL5" s="619" t="s">
        <v>697</v>
      </c>
      <c r="BM5" s="522" t="s">
        <v>692</v>
      </c>
      <c r="BN5" s="522" t="s">
        <v>694</v>
      </c>
      <c r="BO5" s="522" t="s">
        <v>693</v>
      </c>
      <c r="BP5" s="522" t="s">
        <v>695</v>
      </c>
      <c r="BQ5" s="568" t="s">
        <v>767</v>
      </c>
      <c r="BR5" s="578" t="s">
        <v>751</v>
      </c>
      <c r="BS5" s="618" t="s">
        <v>696</v>
      </c>
      <c r="BT5" s="619" t="s">
        <v>697</v>
      </c>
      <c r="BU5" s="522" t="s">
        <v>692</v>
      </c>
      <c r="BV5" s="522" t="s">
        <v>694</v>
      </c>
      <c r="BW5" s="522" t="s">
        <v>693</v>
      </c>
      <c r="BX5" s="522" t="s">
        <v>695</v>
      </c>
      <c r="BY5" s="568" t="s">
        <v>767</v>
      </c>
      <c r="BZ5" s="578" t="s">
        <v>751</v>
      </c>
      <c r="CA5" s="618" t="s">
        <v>696</v>
      </c>
      <c r="CB5" s="619" t="s">
        <v>697</v>
      </c>
      <c r="CC5" s="522" t="s">
        <v>692</v>
      </c>
      <c r="CD5" s="522" t="s">
        <v>694</v>
      </c>
      <c r="CE5" s="522" t="s">
        <v>693</v>
      </c>
      <c r="CF5" s="522" t="s">
        <v>695</v>
      </c>
      <c r="CG5" s="568" t="s">
        <v>767</v>
      </c>
      <c r="CH5" s="578" t="s">
        <v>751</v>
      </c>
      <c r="CI5" s="618" t="s">
        <v>696</v>
      </c>
      <c r="CJ5" s="619" t="s">
        <v>697</v>
      </c>
      <c r="CK5" s="522" t="s">
        <v>692</v>
      </c>
      <c r="CL5" s="522" t="s">
        <v>694</v>
      </c>
      <c r="CM5" s="522" t="s">
        <v>693</v>
      </c>
      <c r="CN5" s="522" t="s">
        <v>695</v>
      </c>
      <c r="CO5" s="568" t="s">
        <v>767</v>
      </c>
      <c r="CP5" s="578" t="s">
        <v>751</v>
      </c>
      <c r="CQ5" s="618" t="s">
        <v>696</v>
      </c>
      <c r="CR5" s="619" t="s">
        <v>697</v>
      </c>
      <c r="CS5" s="522" t="s">
        <v>692</v>
      </c>
      <c r="CT5" s="522" t="s">
        <v>694</v>
      </c>
      <c r="CU5" s="522" t="s">
        <v>693</v>
      </c>
      <c r="CV5" s="522" t="s">
        <v>695</v>
      </c>
      <c r="CW5" s="568" t="s">
        <v>767</v>
      </c>
      <c r="CX5" s="578" t="s">
        <v>751</v>
      </c>
      <c r="CY5" s="618" t="s">
        <v>696</v>
      </c>
      <c r="CZ5" s="619" t="s">
        <v>697</v>
      </c>
      <c r="DA5" s="584" t="s">
        <v>752</v>
      </c>
      <c r="DB5" s="585" t="s">
        <v>753</v>
      </c>
      <c r="DC5" s="584" t="s">
        <v>754</v>
      </c>
      <c r="DD5" s="585" t="s">
        <v>755</v>
      </c>
    </row>
    <row r="6" spans="1:113">
      <c r="A6" s="499" t="s">
        <v>32</v>
      </c>
      <c r="B6" s="505" t="s">
        <v>144</v>
      </c>
      <c r="C6" s="553">
        <v>14240</v>
      </c>
      <c r="D6" s="553">
        <f>C6</f>
        <v>14240</v>
      </c>
      <c r="E6" s="553">
        <v>14183.73</v>
      </c>
      <c r="F6" s="631"/>
      <c r="G6" s="631"/>
      <c r="H6" s="553">
        <v>7.6</v>
      </c>
      <c r="I6" s="554"/>
      <c r="J6" s="554"/>
      <c r="K6" s="554"/>
      <c r="L6" s="554"/>
      <c r="M6" s="569">
        <v>0.26</v>
      </c>
      <c r="N6" s="579">
        <v>0.26</v>
      </c>
      <c r="O6" s="620"/>
      <c r="P6" s="621"/>
      <c r="Q6" s="554"/>
      <c r="R6" s="554"/>
      <c r="S6" s="554"/>
      <c r="T6" s="554"/>
      <c r="U6" s="569">
        <v>0</v>
      </c>
      <c r="V6" s="579">
        <v>0</v>
      </c>
      <c r="W6" s="620"/>
      <c r="X6" s="621"/>
      <c r="Y6" s="554"/>
      <c r="Z6" s="554"/>
      <c r="AA6" s="554"/>
      <c r="AB6" s="554"/>
      <c r="AC6" s="569"/>
      <c r="AD6" s="579"/>
      <c r="AE6" s="620"/>
      <c r="AF6" s="621"/>
      <c r="AG6" s="554"/>
      <c r="AH6" s="554"/>
      <c r="AI6" s="554"/>
      <c r="AJ6" s="554"/>
      <c r="AK6" s="569"/>
      <c r="AL6" s="579"/>
      <c r="AM6" s="620"/>
      <c r="AN6" s="621"/>
      <c r="AO6" s="554"/>
      <c r="AP6" s="554"/>
      <c r="AQ6" s="554"/>
      <c r="AR6" s="554"/>
      <c r="AS6" s="569"/>
      <c r="AT6" s="579"/>
      <c r="AU6" s="620"/>
      <c r="AV6" s="621"/>
      <c r="AW6" s="554"/>
      <c r="AX6" s="554"/>
      <c r="AY6" s="554"/>
      <c r="AZ6" s="554"/>
      <c r="BA6" s="569">
        <v>0</v>
      </c>
      <c r="BB6" s="579">
        <v>0</v>
      </c>
      <c r="BC6" s="620"/>
      <c r="BD6" s="621"/>
      <c r="BE6" s="554"/>
      <c r="BF6" s="554"/>
      <c r="BG6" s="554"/>
      <c r="BH6" s="554"/>
      <c r="BI6" s="569"/>
      <c r="BJ6" s="579"/>
      <c r="BK6" s="620"/>
      <c r="BL6" s="621"/>
      <c r="BM6" s="554"/>
      <c r="BN6" s="554"/>
      <c r="BO6" s="554"/>
      <c r="BP6" s="554"/>
      <c r="BQ6" s="569">
        <v>0</v>
      </c>
      <c r="BR6" s="579">
        <v>0</v>
      </c>
      <c r="BS6" s="620"/>
      <c r="BT6" s="621"/>
      <c r="BU6" s="554"/>
      <c r="BV6" s="554"/>
      <c r="BW6" s="554"/>
      <c r="BX6" s="554"/>
      <c r="BY6" s="569">
        <v>0</v>
      </c>
      <c r="BZ6" s="579">
        <v>0</v>
      </c>
      <c r="CA6" s="620"/>
      <c r="CB6" s="621"/>
      <c r="CC6" s="554"/>
      <c r="CD6" s="554"/>
      <c r="CE6" s="554"/>
      <c r="CF6" s="554"/>
      <c r="CG6" s="569">
        <v>0</v>
      </c>
      <c r="CH6" s="579"/>
      <c r="CI6" s="620"/>
      <c r="CJ6" s="621"/>
      <c r="CK6" s="554"/>
      <c r="CL6" s="554"/>
      <c r="CM6" s="554"/>
      <c r="CN6" s="554"/>
      <c r="CO6" s="569">
        <v>0</v>
      </c>
      <c r="CP6" s="579"/>
      <c r="CQ6" s="620"/>
      <c r="CR6" s="621"/>
      <c r="CS6" s="554"/>
      <c r="CT6" s="554"/>
      <c r="CU6" s="554"/>
      <c r="CV6" s="554"/>
      <c r="CW6" s="569">
        <v>2.19</v>
      </c>
      <c r="CX6" s="579"/>
      <c r="CY6" s="620"/>
      <c r="CZ6" s="621"/>
      <c r="DA6" s="588"/>
      <c r="DB6" s="596"/>
      <c r="DC6" s="588"/>
      <c r="DD6" s="596"/>
      <c r="DE6" s="121">
        <f>M6+U6+AC6+AK6+AS6+BA6+BI6+BQ6+BY6+CG6+CO6+CW6</f>
        <v>2.4500000000000002</v>
      </c>
    </row>
    <row r="7" spans="1:113">
      <c r="A7" s="499" t="s">
        <v>4</v>
      </c>
      <c r="B7" s="190" t="s">
        <v>678</v>
      </c>
      <c r="C7" s="138"/>
      <c r="D7" s="138"/>
      <c r="E7" s="138"/>
      <c r="F7" s="632"/>
      <c r="G7" s="138"/>
      <c r="H7" s="138"/>
      <c r="I7" s="554"/>
      <c r="J7" s="554"/>
      <c r="K7" s="554"/>
      <c r="L7" s="554"/>
      <c r="M7" s="554"/>
      <c r="N7" s="554"/>
      <c r="O7" s="554"/>
      <c r="P7" s="554"/>
      <c r="Q7" s="554"/>
      <c r="R7" s="554"/>
      <c r="S7" s="554"/>
      <c r="T7" s="554"/>
      <c r="U7" s="554"/>
      <c r="V7" s="554"/>
      <c r="W7" s="554"/>
      <c r="X7" s="554"/>
      <c r="Y7" s="554"/>
      <c r="Z7" s="554"/>
      <c r="AA7" s="554"/>
      <c r="AB7" s="554"/>
      <c r="AC7" s="554"/>
      <c r="AD7" s="554"/>
      <c r="AE7" s="554"/>
      <c r="AF7" s="554"/>
      <c r="AG7" s="554"/>
      <c r="AH7" s="554"/>
      <c r="AI7" s="554"/>
      <c r="AJ7" s="554"/>
      <c r="AK7" s="554"/>
      <c r="AL7" s="554"/>
      <c r="AM7" s="554"/>
      <c r="AN7" s="554"/>
      <c r="AO7" s="554"/>
      <c r="AP7" s="554"/>
      <c r="AQ7" s="554"/>
      <c r="AR7" s="554"/>
      <c r="AS7" s="554"/>
      <c r="AT7" s="554"/>
      <c r="AU7" s="554"/>
      <c r="AV7" s="554"/>
      <c r="AW7" s="554"/>
      <c r="AX7" s="554"/>
      <c r="AY7" s="554"/>
      <c r="AZ7" s="554"/>
      <c r="BA7" s="554"/>
      <c r="BB7" s="554"/>
      <c r="BC7" s="554"/>
      <c r="BD7" s="554"/>
      <c r="BE7" s="554"/>
      <c r="BF7" s="554"/>
      <c r="BG7" s="554"/>
      <c r="BH7" s="554"/>
      <c r="BI7" s="554"/>
      <c r="BJ7" s="554"/>
      <c r="BK7" s="554"/>
      <c r="BL7" s="554"/>
      <c r="BM7" s="554"/>
      <c r="BN7" s="554"/>
      <c r="BO7" s="554"/>
      <c r="BP7" s="554"/>
      <c r="BQ7" s="554"/>
      <c r="BR7" s="554"/>
      <c r="BS7" s="554"/>
      <c r="BT7" s="554"/>
      <c r="BU7" s="554"/>
      <c r="BV7" s="554"/>
      <c r="BW7" s="554"/>
      <c r="BX7" s="554"/>
      <c r="BY7" s="554"/>
      <c r="BZ7" s="554"/>
      <c r="CA7" s="554"/>
      <c r="CB7" s="554"/>
      <c r="CC7" s="554"/>
      <c r="CD7" s="554"/>
      <c r="CE7" s="554"/>
      <c r="CF7" s="554"/>
      <c r="CG7" s="554"/>
      <c r="CH7" s="554"/>
      <c r="CI7" s="554"/>
      <c r="CJ7" s="554"/>
      <c r="CK7" s="554"/>
      <c r="CL7" s="554"/>
      <c r="CM7" s="554"/>
      <c r="CN7" s="554"/>
      <c r="CO7" s="554"/>
      <c r="CP7" s="554"/>
      <c r="CQ7" s="554"/>
      <c r="CR7" s="554"/>
      <c r="CS7" s="554"/>
      <c r="CT7" s="554"/>
      <c r="CU7" s="554"/>
      <c r="CV7" s="554"/>
      <c r="CW7" s="554"/>
      <c r="CX7" s="554"/>
      <c r="CY7" s="554"/>
      <c r="CZ7" s="554"/>
      <c r="DA7" s="121"/>
      <c r="DB7" s="121"/>
      <c r="DC7" s="121"/>
      <c r="DD7" s="121"/>
    </row>
    <row r="8" spans="1:113">
      <c r="A8" s="263">
        <v>1</v>
      </c>
      <c r="B8" s="502" t="s">
        <v>741</v>
      </c>
      <c r="C8" s="138">
        <v>158.16999999999999</v>
      </c>
      <c r="D8" s="138">
        <f>C8</f>
        <v>158.16999999999999</v>
      </c>
      <c r="E8" s="138">
        <v>138.82</v>
      </c>
      <c r="F8" s="632"/>
      <c r="G8" s="632"/>
      <c r="H8" s="138">
        <v>7.9</v>
      </c>
      <c r="I8" s="555"/>
      <c r="J8" s="555"/>
      <c r="K8" s="555"/>
      <c r="L8" s="555"/>
      <c r="M8" s="570">
        <v>3.62</v>
      </c>
      <c r="N8" s="580">
        <v>3.62</v>
      </c>
      <c r="O8" s="620"/>
      <c r="P8" s="621"/>
      <c r="Q8" s="555"/>
      <c r="R8" s="555"/>
      <c r="S8" s="555"/>
      <c r="T8" s="555"/>
      <c r="U8" s="570">
        <v>0</v>
      </c>
      <c r="V8" s="580">
        <v>0</v>
      </c>
      <c r="W8" s="620"/>
      <c r="X8" s="621"/>
      <c r="Y8" s="555"/>
      <c r="Z8" s="555"/>
      <c r="AA8" s="555"/>
      <c r="AB8" s="555"/>
      <c r="AC8" s="570">
        <v>1.56</v>
      </c>
      <c r="AD8" s="580">
        <v>1.56</v>
      </c>
      <c r="AE8" s="620"/>
      <c r="AF8" s="621"/>
      <c r="AG8" s="555"/>
      <c r="AH8" s="555"/>
      <c r="AI8" s="555"/>
      <c r="AJ8" s="555"/>
      <c r="AK8" s="570">
        <v>0.44</v>
      </c>
      <c r="AL8" s="580">
        <v>0.44</v>
      </c>
      <c r="AM8" s="620"/>
      <c r="AN8" s="621"/>
      <c r="AO8" s="555"/>
      <c r="AP8" s="555"/>
      <c r="AQ8" s="555"/>
      <c r="AR8" s="555"/>
      <c r="AS8" s="570">
        <v>0.38</v>
      </c>
      <c r="AT8" s="580">
        <v>0.38</v>
      </c>
      <c r="AU8" s="620"/>
      <c r="AV8" s="621"/>
      <c r="AW8" s="555"/>
      <c r="AX8" s="555"/>
      <c r="AY8" s="555"/>
      <c r="AZ8" s="555"/>
      <c r="BA8" s="570">
        <v>0.37</v>
      </c>
      <c r="BB8" s="580">
        <v>0.37</v>
      </c>
      <c r="BC8" s="620"/>
      <c r="BD8" s="621"/>
      <c r="BE8" s="555"/>
      <c r="BF8" s="555"/>
      <c r="BG8" s="555"/>
      <c r="BH8" s="555"/>
      <c r="BI8" s="570"/>
      <c r="BJ8" s="580"/>
      <c r="BK8" s="620"/>
      <c r="BL8" s="621"/>
      <c r="BM8" s="555"/>
      <c r="BN8" s="555"/>
      <c r="BO8" s="555"/>
      <c r="BP8" s="555"/>
      <c r="BQ8" s="570"/>
      <c r="BR8" s="580">
        <v>0.18</v>
      </c>
      <c r="BS8" s="620"/>
      <c r="BT8" s="621"/>
      <c r="BU8" s="555"/>
      <c r="BV8" s="555"/>
      <c r="BW8" s="555"/>
      <c r="BX8" s="555"/>
      <c r="BY8" s="570"/>
      <c r="BZ8" s="580">
        <v>0.17186499999999999</v>
      </c>
      <c r="CA8" s="620"/>
      <c r="CB8" s="621"/>
      <c r="CC8" s="555"/>
      <c r="CD8" s="555"/>
      <c r="CE8" s="555"/>
      <c r="CF8" s="555"/>
      <c r="CG8" s="570"/>
      <c r="CH8" s="580">
        <v>0.14000000000000001</v>
      </c>
      <c r="CI8" s="620"/>
      <c r="CJ8" s="621"/>
      <c r="CK8" s="555"/>
      <c r="CL8" s="555"/>
      <c r="CM8" s="555"/>
      <c r="CN8" s="555"/>
      <c r="CO8" s="570">
        <v>0.18</v>
      </c>
      <c r="CP8" s="580"/>
      <c r="CQ8" s="620"/>
      <c r="CR8" s="621"/>
      <c r="CS8" s="555"/>
      <c r="CT8" s="555"/>
      <c r="CU8" s="555"/>
      <c r="CV8" s="555"/>
      <c r="CW8" s="570">
        <v>1.35</v>
      </c>
      <c r="CX8" s="580"/>
      <c r="CY8" s="620"/>
      <c r="CZ8" s="621"/>
      <c r="DA8" s="588"/>
      <c r="DB8" s="596"/>
      <c r="DC8" s="588"/>
      <c r="DD8" s="596"/>
      <c r="DE8" s="121">
        <f>M8+U8+AC8+AK8+AS8+BA8+BI8+BQ8+BY8+CG8+CO8+CW8</f>
        <v>7.9</v>
      </c>
    </row>
    <row r="9" spans="1:113">
      <c r="A9" s="263">
        <v>2</v>
      </c>
      <c r="B9" s="502" t="s">
        <v>756</v>
      </c>
      <c r="C9" s="138"/>
      <c r="D9" s="138"/>
      <c r="E9" s="138"/>
      <c r="F9" s="632"/>
      <c r="G9" s="138"/>
      <c r="H9" s="138"/>
      <c r="I9" s="555"/>
      <c r="J9" s="555"/>
      <c r="K9" s="555"/>
      <c r="L9" s="555"/>
      <c r="M9" s="555">
        <v>0.47</v>
      </c>
      <c r="N9" s="555">
        <v>0.47</v>
      </c>
      <c r="O9" s="555"/>
      <c r="P9" s="555"/>
      <c r="Q9" s="555"/>
      <c r="R9" s="555"/>
      <c r="S9" s="555"/>
      <c r="T9" s="555"/>
      <c r="U9" s="555"/>
      <c r="V9" s="555"/>
      <c r="W9" s="555"/>
      <c r="X9" s="555"/>
      <c r="Y9" s="555"/>
      <c r="Z9" s="555"/>
      <c r="AA9" s="555"/>
      <c r="AB9" s="555"/>
      <c r="AC9" s="555">
        <v>0.02</v>
      </c>
      <c r="AD9" s="555">
        <v>0.02</v>
      </c>
      <c r="AE9" s="555"/>
      <c r="AF9" s="555"/>
      <c r="AG9" s="555"/>
      <c r="AH9" s="555"/>
      <c r="AI9" s="555"/>
      <c r="AJ9" s="555"/>
      <c r="AK9" s="555"/>
      <c r="AL9" s="555"/>
      <c r="AM9" s="555"/>
      <c r="AN9" s="555"/>
      <c r="AO9" s="555"/>
      <c r="AP9" s="555"/>
      <c r="AQ9" s="555"/>
      <c r="AR9" s="555"/>
      <c r="AS9" s="555"/>
      <c r="AT9" s="555"/>
      <c r="AU9" s="555"/>
      <c r="AV9" s="555"/>
      <c r="AW9" s="555"/>
      <c r="AX9" s="555"/>
      <c r="AY9" s="555"/>
      <c r="AZ9" s="555"/>
      <c r="BA9" s="555"/>
      <c r="BB9" s="555"/>
      <c r="BC9" s="555"/>
      <c r="BD9" s="555"/>
      <c r="BE9" s="555"/>
      <c r="BF9" s="555"/>
      <c r="BG9" s="555"/>
      <c r="BH9" s="555"/>
      <c r="BI9" s="555"/>
      <c r="BJ9" s="555"/>
      <c r="BK9" s="555"/>
      <c r="BL9" s="555"/>
      <c r="BM9" s="555"/>
      <c r="BN9" s="555"/>
      <c r="BO9" s="555"/>
      <c r="BP9" s="555"/>
      <c r="BQ9" s="555"/>
      <c r="BR9" s="555"/>
      <c r="BS9" s="555"/>
      <c r="BT9" s="555"/>
      <c r="BU9" s="555"/>
      <c r="BV9" s="555"/>
      <c r="BW9" s="555"/>
      <c r="BX9" s="555"/>
      <c r="BY9" s="555"/>
      <c r="BZ9" s="555"/>
      <c r="CA9" s="555"/>
      <c r="CB9" s="555"/>
      <c r="CC9" s="555"/>
      <c r="CD9" s="555"/>
      <c r="CE9" s="555"/>
      <c r="CF9" s="555"/>
      <c r="CG9" s="555"/>
      <c r="CH9" s="555"/>
      <c r="CI9" s="555"/>
      <c r="CJ9" s="555"/>
      <c r="CK9" s="555"/>
      <c r="CL9" s="555"/>
      <c r="CM9" s="555"/>
      <c r="CN9" s="555"/>
      <c r="CO9" s="555"/>
      <c r="CP9" s="555"/>
      <c r="CQ9" s="555"/>
      <c r="CR9" s="555"/>
      <c r="CS9" s="555"/>
      <c r="CT9" s="555"/>
      <c r="CU9" s="555"/>
      <c r="CV9" s="555"/>
      <c r="CW9" s="555"/>
      <c r="CX9" s="555"/>
      <c r="CY9" s="555"/>
      <c r="CZ9" s="555"/>
      <c r="DA9" s="121"/>
      <c r="DB9" s="121"/>
      <c r="DC9" s="121"/>
      <c r="DD9" s="121"/>
    </row>
    <row r="10" spans="1:113">
      <c r="A10" s="263">
        <v>3</v>
      </c>
      <c r="B10" s="502"/>
      <c r="C10" s="138"/>
      <c r="D10" s="138"/>
      <c r="E10" s="138"/>
      <c r="F10" s="632"/>
      <c r="G10" s="138"/>
      <c r="H10" s="138"/>
      <c r="I10" s="554"/>
      <c r="J10" s="554"/>
      <c r="K10" s="554"/>
      <c r="L10" s="554"/>
      <c r="M10" s="554"/>
      <c r="N10" s="554"/>
      <c r="O10" s="554"/>
      <c r="P10" s="554"/>
      <c r="Q10" s="554"/>
      <c r="R10" s="554"/>
      <c r="S10" s="554"/>
      <c r="T10" s="554"/>
      <c r="U10" s="554"/>
      <c r="V10" s="554"/>
      <c r="W10" s="554"/>
      <c r="X10" s="554"/>
      <c r="Y10" s="554"/>
      <c r="Z10" s="554"/>
      <c r="AA10" s="554"/>
      <c r="AB10" s="554"/>
      <c r="AC10" s="554"/>
      <c r="AD10" s="554"/>
      <c r="AE10" s="554"/>
      <c r="AF10" s="554"/>
      <c r="AG10" s="554"/>
      <c r="AH10" s="554"/>
      <c r="AI10" s="554"/>
      <c r="AJ10" s="554"/>
      <c r="AK10" s="554"/>
      <c r="AL10" s="554"/>
      <c r="AM10" s="554"/>
      <c r="AN10" s="554"/>
      <c r="AO10" s="554"/>
      <c r="AP10" s="554"/>
      <c r="AQ10" s="554"/>
      <c r="AR10" s="554"/>
      <c r="AS10" s="554"/>
      <c r="AT10" s="554"/>
      <c r="AU10" s="554"/>
      <c r="AV10" s="554"/>
      <c r="AW10" s="554"/>
      <c r="AX10" s="554"/>
      <c r="AY10" s="554"/>
      <c r="AZ10" s="554"/>
      <c r="BA10" s="554"/>
      <c r="BB10" s="554"/>
      <c r="BC10" s="554"/>
      <c r="BD10" s="554"/>
      <c r="BE10" s="554"/>
      <c r="BF10" s="554"/>
      <c r="BG10" s="554"/>
      <c r="BH10" s="554"/>
      <c r="BI10" s="554"/>
      <c r="BJ10" s="554"/>
      <c r="BK10" s="554"/>
      <c r="BL10" s="554"/>
      <c r="BM10" s="554"/>
      <c r="BN10" s="554"/>
      <c r="BO10" s="554"/>
      <c r="BP10" s="554"/>
      <c r="BQ10" s="554"/>
      <c r="BR10" s="554"/>
      <c r="BS10" s="554"/>
      <c r="BT10" s="554"/>
      <c r="BU10" s="554"/>
      <c r="BV10" s="554"/>
      <c r="BW10" s="554"/>
      <c r="BX10" s="554"/>
      <c r="BY10" s="554"/>
      <c r="BZ10" s="554"/>
      <c r="CA10" s="554"/>
      <c r="CB10" s="554"/>
      <c r="CC10" s="554"/>
      <c r="CD10" s="554"/>
      <c r="CE10" s="554"/>
      <c r="CF10" s="554"/>
      <c r="CG10" s="554"/>
      <c r="CH10" s="554"/>
      <c r="CI10" s="554"/>
      <c r="CJ10" s="554"/>
      <c r="CK10" s="554"/>
      <c r="CL10" s="554"/>
      <c r="CM10" s="554"/>
      <c r="CN10" s="554"/>
      <c r="CO10" s="554"/>
      <c r="CP10" s="554"/>
      <c r="CQ10" s="554"/>
      <c r="CR10" s="554"/>
      <c r="CS10" s="554"/>
      <c r="CT10" s="554"/>
      <c r="CU10" s="554"/>
      <c r="CV10" s="554"/>
      <c r="CW10" s="554"/>
      <c r="CX10" s="554"/>
      <c r="CY10" s="554"/>
      <c r="CZ10" s="554"/>
      <c r="DA10" s="121"/>
      <c r="DB10" s="121"/>
      <c r="DC10" s="121"/>
      <c r="DD10" s="121"/>
    </row>
    <row r="11" spans="1:113">
      <c r="A11" s="263"/>
      <c r="B11" s="502" t="s">
        <v>469</v>
      </c>
      <c r="C11" s="138"/>
      <c r="D11" s="138"/>
      <c r="E11" s="138"/>
      <c r="F11" s="632"/>
      <c r="G11" s="138"/>
      <c r="H11" s="138"/>
      <c r="I11" s="555"/>
      <c r="J11" s="555"/>
      <c r="K11" s="555"/>
      <c r="L11" s="555"/>
      <c r="M11" s="555"/>
      <c r="N11" s="555"/>
      <c r="O11" s="555"/>
      <c r="P11" s="555"/>
      <c r="Q11" s="555"/>
      <c r="R11" s="555"/>
      <c r="S11" s="555"/>
      <c r="T11" s="555"/>
      <c r="U11" s="555"/>
      <c r="V11" s="555"/>
      <c r="W11" s="555"/>
      <c r="X11" s="555"/>
      <c r="Y11" s="555"/>
      <c r="Z11" s="555"/>
      <c r="AA11" s="555"/>
      <c r="AB11" s="555"/>
      <c r="AC11" s="555"/>
      <c r="AD11" s="555"/>
      <c r="AE11" s="555"/>
      <c r="AF11" s="555"/>
      <c r="AG11" s="555"/>
      <c r="AH11" s="555"/>
      <c r="AI11" s="555"/>
      <c r="AJ11" s="555"/>
      <c r="AK11" s="555"/>
      <c r="AL11" s="555"/>
      <c r="AM11" s="555"/>
      <c r="AN11" s="555"/>
      <c r="AO11" s="555"/>
      <c r="AP11" s="555"/>
      <c r="AQ11" s="555"/>
      <c r="AR11" s="555"/>
      <c r="AS11" s="555"/>
      <c r="AT11" s="555"/>
      <c r="AU11" s="555"/>
      <c r="AV11" s="555"/>
      <c r="AW11" s="555"/>
      <c r="AX11" s="555"/>
      <c r="AY11" s="555"/>
      <c r="AZ11" s="555"/>
      <c r="BA11" s="555">
        <v>0.27</v>
      </c>
      <c r="BB11" s="555">
        <v>0.27</v>
      </c>
      <c r="BC11" s="555"/>
      <c r="BD11" s="555"/>
      <c r="BE11" s="555"/>
      <c r="BF11" s="555"/>
      <c r="BG11" s="555"/>
      <c r="BH11" s="555"/>
      <c r="BI11" s="555">
        <v>0.1</v>
      </c>
      <c r="BJ11" s="555">
        <v>0.1</v>
      </c>
      <c r="BK11" s="555"/>
      <c r="BL11" s="555"/>
      <c r="BM11" s="555"/>
      <c r="BN11" s="555"/>
      <c r="BO11" s="555"/>
      <c r="BP11" s="555"/>
      <c r="BQ11" s="555"/>
      <c r="BR11" s="555"/>
      <c r="BS11" s="555"/>
      <c r="BT11" s="555"/>
      <c r="BU11" s="555"/>
      <c r="BV11" s="555"/>
      <c r="BW11" s="555"/>
      <c r="BX11" s="555"/>
      <c r="BY11" s="555"/>
      <c r="BZ11" s="555"/>
      <c r="CA11" s="555"/>
      <c r="CB11" s="555"/>
      <c r="CC11" s="555"/>
      <c r="CD11" s="555"/>
      <c r="CE11" s="555"/>
      <c r="CF11" s="555"/>
      <c r="CG11" s="555"/>
      <c r="CH11" s="555"/>
      <c r="CI11" s="555"/>
      <c r="CJ11" s="555"/>
      <c r="CK11" s="555"/>
      <c r="CL11" s="555"/>
      <c r="CM11" s="555"/>
      <c r="CN11" s="555"/>
      <c r="CO11" s="555"/>
      <c r="CP11" s="555"/>
      <c r="CQ11" s="555"/>
      <c r="CR11" s="555"/>
      <c r="CS11" s="555"/>
      <c r="CT11" s="555"/>
      <c r="CU11" s="555"/>
      <c r="CV11" s="555"/>
      <c r="CW11" s="555"/>
      <c r="CX11" s="555"/>
      <c r="CY11" s="555"/>
      <c r="CZ11" s="555"/>
      <c r="DA11" s="121"/>
      <c r="DB11" s="121"/>
      <c r="DC11" s="121"/>
      <c r="DD11" s="121"/>
    </row>
    <row r="12" spans="1:113" s="613" customFormat="1">
      <c r="A12" s="599"/>
      <c r="B12" s="608" t="s">
        <v>72</v>
      </c>
      <c r="C12" s="601">
        <f>SUM(C8:C11)</f>
        <v>158.16999999999999</v>
      </c>
      <c r="D12" s="601">
        <f>SUM(D8:D11)</f>
        <v>158.16999999999999</v>
      </c>
      <c r="E12" s="601">
        <f>SUM(E8:E11)</f>
        <v>138.82</v>
      </c>
      <c r="F12" s="633"/>
      <c r="G12" s="633"/>
      <c r="H12" s="601">
        <f>SUM(H8:H11)</f>
        <v>7.9</v>
      </c>
      <c r="I12" s="592"/>
      <c r="J12" s="592"/>
      <c r="K12" s="592"/>
      <c r="L12" s="592"/>
      <c r="M12" s="592">
        <v>4.09</v>
      </c>
      <c r="N12" s="592">
        <f>SUM(N8:N11)</f>
        <v>4.09</v>
      </c>
      <c r="O12" s="622"/>
      <c r="P12" s="622"/>
      <c r="Q12" s="592"/>
      <c r="R12" s="592"/>
      <c r="S12" s="592"/>
      <c r="T12" s="592"/>
      <c r="U12" s="592">
        <v>0</v>
      </c>
      <c r="V12" s="592">
        <f>SUM(V8:V11)</f>
        <v>0</v>
      </c>
      <c r="W12" s="622"/>
      <c r="X12" s="622"/>
      <c r="Y12" s="592"/>
      <c r="Z12" s="592"/>
      <c r="AA12" s="592"/>
      <c r="AB12" s="592"/>
      <c r="AC12" s="592">
        <v>1.58</v>
      </c>
      <c r="AD12" s="592">
        <f>SUM(AD8:AD11)</f>
        <v>1.58</v>
      </c>
      <c r="AE12" s="622"/>
      <c r="AF12" s="622"/>
      <c r="AG12" s="592"/>
      <c r="AH12" s="592"/>
      <c r="AI12" s="592"/>
      <c r="AJ12" s="592"/>
      <c r="AK12" s="592">
        <v>0.44</v>
      </c>
      <c r="AL12" s="592">
        <f>SUM(AL8:AL11)</f>
        <v>0.44</v>
      </c>
      <c r="AM12" s="622"/>
      <c r="AN12" s="622"/>
      <c r="AO12" s="592"/>
      <c r="AP12" s="592"/>
      <c r="AQ12" s="592"/>
      <c r="AR12" s="592"/>
      <c r="AS12" s="592">
        <v>0.38</v>
      </c>
      <c r="AT12" s="592">
        <f>SUM(AT8:AT11)</f>
        <v>0.38</v>
      </c>
      <c r="AU12" s="622"/>
      <c r="AV12" s="622"/>
      <c r="AW12" s="592"/>
      <c r="AX12" s="592"/>
      <c r="AY12" s="592"/>
      <c r="AZ12" s="592"/>
      <c r="BA12" s="592">
        <v>0.64</v>
      </c>
      <c r="BB12" s="592">
        <f>SUM(BB8:BB11)</f>
        <v>0.64</v>
      </c>
      <c r="BC12" s="622"/>
      <c r="BD12" s="622"/>
      <c r="BE12" s="592"/>
      <c r="BF12" s="592"/>
      <c r="BG12" s="592"/>
      <c r="BH12" s="592"/>
      <c r="BI12" s="592">
        <v>0.1</v>
      </c>
      <c r="BJ12" s="592">
        <f>SUM(BJ8:BJ11)</f>
        <v>0.1</v>
      </c>
      <c r="BK12" s="622"/>
      <c r="BL12" s="622"/>
      <c r="BM12" s="592"/>
      <c r="BN12" s="592"/>
      <c r="BO12" s="592"/>
      <c r="BP12" s="592"/>
      <c r="BQ12" s="592">
        <f>SUM(BQ8:BQ11)</f>
        <v>0</v>
      </c>
      <c r="BR12" s="592">
        <f>SUM(BR8:BR11)</f>
        <v>0.18</v>
      </c>
      <c r="BS12" s="622"/>
      <c r="BT12" s="622"/>
      <c r="BU12" s="592"/>
      <c r="BV12" s="592"/>
      <c r="BW12" s="592"/>
      <c r="BX12" s="592"/>
      <c r="BY12" s="592">
        <f>SUM(BY8:BY11)</f>
        <v>0</v>
      </c>
      <c r="BZ12" s="592">
        <f>SUM(BZ8:BZ11)</f>
        <v>0.17186499999999999</v>
      </c>
      <c r="CA12" s="622"/>
      <c r="CB12" s="622"/>
      <c r="CC12" s="592"/>
      <c r="CD12" s="592"/>
      <c r="CE12" s="592"/>
      <c r="CF12" s="592"/>
      <c r="CG12" s="592">
        <f>SUM(CG8:CG11)</f>
        <v>0</v>
      </c>
      <c r="CH12" s="592">
        <f>SUM(CH8:CH11)</f>
        <v>0.14000000000000001</v>
      </c>
      <c r="CI12" s="622"/>
      <c r="CJ12" s="622"/>
      <c r="CK12" s="592"/>
      <c r="CL12" s="592"/>
      <c r="CM12" s="592"/>
      <c r="CN12" s="592"/>
      <c r="CO12" s="592">
        <f>SUM(CO8:CO11)</f>
        <v>0.18</v>
      </c>
      <c r="CP12" s="592">
        <f>SUM(CP8:CP11)</f>
        <v>0</v>
      </c>
      <c r="CQ12" s="622"/>
      <c r="CR12" s="622"/>
      <c r="CS12" s="592"/>
      <c r="CT12" s="592"/>
      <c r="CU12" s="592"/>
      <c r="CV12" s="592"/>
      <c r="CW12" s="592">
        <f>SUM(CW8:CW11)</f>
        <v>1.35</v>
      </c>
      <c r="CX12" s="592">
        <f>SUM(CX8:CX11)</f>
        <v>0</v>
      </c>
      <c r="CY12" s="622"/>
      <c r="CZ12" s="622"/>
      <c r="DA12" s="602"/>
      <c r="DB12" s="602"/>
      <c r="DC12" s="602"/>
      <c r="DD12" s="602"/>
      <c r="DE12" s="121">
        <f>M12+U12+AC12+AK12+AS12+BA12+BI12+BQ12+BY12+CG12+CO12+CW12</f>
        <v>8.76</v>
      </c>
      <c r="DH12" s="658"/>
    </row>
    <row r="13" spans="1:113" s="128" customFormat="1">
      <c r="A13" s="499"/>
      <c r="B13" s="197"/>
      <c r="C13" s="553"/>
      <c r="D13" s="553"/>
      <c r="E13" s="553"/>
      <c r="F13" s="631"/>
      <c r="G13" s="553"/>
      <c r="H13" s="553"/>
      <c r="I13" s="554"/>
      <c r="J13" s="554"/>
      <c r="K13" s="554"/>
      <c r="L13" s="554"/>
      <c r="M13" s="554"/>
      <c r="N13" s="554"/>
      <c r="O13" s="554"/>
      <c r="P13" s="554"/>
      <c r="Q13" s="554"/>
      <c r="R13" s="554"/>
      <c r="S13" s="554"/>
      <c r="T13" s="554"/>
      <c r="U13" s="554"/>
      <c r="V13" s="554"/>
      <c r="W13" s="554"/>
      <c r="X13" s="554"/>
      <c r="Y13" s="554"/>
      <c r="Z13" s="554"/>
      <c r="AA13" s="554"/>
      <c r="AB13" s="554"/>
      <c r="AC13" s="554"/>
      <c r="AD13" s="554"/>
      <c r="AE13" s="554"/>
      <c r="AF13" s="554"/>
      <c r="AG13" s="554"/>
      <c r="AH13" s="554"/>
      <c r="AI13" s="554"/>
      <c r="AJ13" s="554"/>
      <c r="AK13" s="554"/>
      <c r="AL13" s="554"/>
      <c r="AM13" s="554"/>
      <c r="AN13" s="554"/>
      <c r="AO13" s="554"/>
      <c r="AP13" s="554"/>
      <c r="AQ13" s="554"/>
      <c r="AR13" s="554"/>
      <c r="AS13" s="554"/>
      <c r="AT13" s="554"/>
      <c r="AU13" s="554"/>
      <c r="AV13" s="554"/>
      <c r="AW13" s="554"/>
      <c r="AX13" s="554"/>
      <c r="AY13" s="554"/>
      <c r="AZ13" s="554"/>
      <c r="BA13" s="554"/>
      <c r="BB13" s="554"/>
      <c r="BC13" s="554"/>
      <c r="BD13" s="554"/>
      <c r="BE13" s="554"/>
      <c r="BF13" s="554"/>
      <c r="BG13" s="554"/>
      <c r="BH13" s="554"/>
      <c r="BI13" s="554"/>
      <c r="BJ13" s="554"/>
      <c r="BK13" s="554"/>
      <c r="BL13" s="554"/>
      <c r="BM13" s="554"/>
      <c r="BN13" s="554"/>
      <c r="BO13" s="554"/>
      <c r="BP13" s="554"/>
      <c r="BQ13" s="554"/>
      <c r="BR13" s="554"/>
      <c r="BS13" s="554"/>
      <c r="BT13" s="554"/>
      <c r="BU13" s="554"/>
      <c r="BV13" s="554"/>
      <c r="BW13" s="554"/>
      <c r="BX13" s="554"/>
      <c r="BY13" s="554"/>
      <c r="BZ13" s="554"/>
      <c r="CA13" s="554"/>
      <c r="CB13" s="554"/>
      <c r="CC13" s="554"/>
      <c r="CD13" s="554"/>
      <c r="CE13" s="554"/>
      <c r="CF13" s="554"/>
      <c r="CG13" s="554"/>
      <c r="CH13" s="554"/>
      <c r="CI13" s="554"/>
      <c r="CJ13" s="554"/>
      <c r="CK13" s="554"/>
      <c r="CL13" s="554"/>
      <c r="CM13" s="554"/>
      <c r="CN13" s="554"/>
      <c r="CO13" s="554"/>
      <c r="CP13" s="554"/>
      <c r="CQ13" s="554"/>
      <c r="CR13" s="554"/>
      <c r="CS13" s="554"/>
      <c r="CT13" s="554"/>
      <c r="CU13" s="554"/>
      <c r="CV13" s="554"/>
      <c r="CW13" s="554"/>
      <c r="CX13" s="554"/>
      <c r="CY13" s="554"/>
      <c r="CZ13" s="554"/>
      <c r="DH13" s="659"/>
    </row>
    <row r="14" spans="1:113">
      <c r="A14" s="499" t="s">
        <v>2</v>
      </c>
      <c r="B14" s="190" t="s">
        <v>679</v>
      </c>
      <c r="C14" s="553"/>
      <c r="D14" s="553"/>
      <c r="E14" s="553"/>
      <c r="F14" s="631"/>
      <c r="G14" s="553"/>
      <c r="H14" s="553"/>
      <c r="I14" s="554"/>
      <c r="J14" s="554"/>
      <c r="K14" s="554"/>
      <c r="L14" s="554"/>
      <c r="M14" s="554"/>
      <c r="N14" s="554"/>
      <c r="O14" s="554"/>
      <c r="P14" s="554"/>
      <c r="Q14" s="554"/>
      <c r="R14" s="554"/>
      <c r="S14" s="554"/>
      <c r="T14" s="554"/>
      <c r="U14" s="554"/>
      <c r="V14" s="554"/>
      <c r="W14" s="554"/>
      <c r="X14" s="554"/>
      <c r="Y14" s="554"/>
      <c r="Z14" s="554"/>
      <c r="AA14" s="554"/>
      <c r="AB14" s="554"/>
      <c r="AC14" s="554"/>
      <c r="AD14" s="554"/>
      <c r="AE14" s="554"/>
      <c r="AF14" s="554"/>
      <c r="AG14" s="554"/>
      <c r="AH14" s="554"/>
      <c r="AI14" s="554"/>
      <c r="AJ14" s="554"/>
      <c r="AK14" s="554"/>
      <c r="AL14" s="554"/>
      <c r="AM14" s="554"/>
      <c r="AN14" s="554"/>
      <c r="AO14" s="554"/>
      <c r="AP14" s="554"/>
      <c r="AQ14" s="554"/>
      <c r="AR14" s="554"/>
      <c r="AS14" s="554"/>
      <c r="AT14" s="554"/>
      <c r="AU14" s="554"/>
      <c r="AV14" s="554"/>
      <c r="AW14" s="554"/>
      <c r="AX14" s="554"/>
      <c r="AY14" s="554"/>
      <c r="AZ14" s="554"/>
      <c r="BA14" s="554"/>
      <c r="BB14" s="554"/>
      <c r="BC14" s="554"/>
      <c r="BD14" s="554"/>
      <c r="BE14" s="554"/>
      <c r="BF14" s="554"/>
      <c r="BG14" s="554"/>
      <c r="BH14" s="554"/>
      <c r="BI14" s="554"/>
      <c r="BJ14" s="554"/>
      <c r="BK14" s="554"/>
      <c r="BL14" s="554"/>
      <c r="BM14" s="554"/>
      <c r="BN14" s="554"/>
      <c r="BO14" s="554"/>
      <c r="BP14" s="554"/>
      <c r="BQ14" s="554"/>
      <c r="BR14" s="554"/>
      <c r="BS14" s="554"/>
      <c r="BT14" s="554"/>
      <c r="BU14" s="554"/>
      <c r="BV14" s="554"/>
      <c r="BW14" s="554"/>
      <c r="BX14" s="554"/>
      <c r="BY14" s="554"/>
      <c r="BZ14" s="554"/>
      <c r="CA14" s="554"/>
      <c r="CB14" s="554"/>
      <c r="CC14" s="554"/>
      <c r="CD14" s="554"/>
      <c r="CE14" s="554"/>
      <c r="CF14" s="554"/>
      <c r="CG14" s="554"/>
      <c r="CH14" s="554"/>
      <c r="CI14" s="554"/>
      <c r="CJ14" s="554"/>
      <c r="CK14" s="554"/>
      <c r="CL14" s="554"/>
      <c r="CM14" s="554"/>
      <c r="CN14" s="554"/>
      <c r="CO14" s="554"/>
      <c r="CP14" s="554"/>
      <c r="CQ14" s="554"/>
      <c r="CR14" s="554"/>
      <c r="CS14" s="554"/>
      <c r="CT14" s="554"/>
      <c r="CU14" s="554"/>
      <c r="CV14" s="554"/>
      <c r="CW14" s="554"/>
      <c r="CX14" s="554"/>
      <c r="CY14" s="554"/>
      <c r="CZ14" s="554"/>
      <c r="DA14" s="121"/>
      <c r="DB14" s="121"/>
      <c r="DC14" s="121"/>
      <c r="DD14" s="121"/>
    </row>
    <row r="15" spans="1:113">
      <c r="A15" s="263">
        <v>1</v>
      </c>
      <c r="B15" s="503" t="s">
        <v>742</v>
      </c>
      <c r="C15" s="138">
        <v>433.58</v>
      </c>
      <c r="D15" s="138">
        <f t="shared" ref="D15:D19" si="0">C15</f>
        <v>433.58</v>
      </c>
      <c r="E15" s="138">
        <v>53.15</v>
      </c>
      <c r="F15" s="632">
        <v>0.78825416612364885</v>
      </c>
      <c r="G15" s="634">
        <f t="shared" ref="G15:G18" si="1">O15+W15+AE15+AM15+AU15+BC15+BK15+BS15+CA15+CI15+CQ15+CY15</f>
        <v>0.192</v>
      </c>
      <c r="H15" s="138">
        <v>53.15</v>
      </c>
      <c r="I15" s="554"/>
      <c r="J15" s="554"/>
      <c r="K15" s="554"/>
      <c r="L15" s="554"/>
      <c r="M15" s="569">
        <v>5.03</v>
      </c>
      <c r="N15" s="579">
        <v>5.03</v>
      </c>
      <c r="O15" s="620">
        <v>4.1599999999999998E-2</v>
      </c>
      <c r="P15" s="621">
        <v>2.1634322707765323E-2</v>
      </c>
      <c r="Q15" s="554"/>
      <c r="R15" s="554"/>
      <c r="S15" s="554"/>
      <c r="T15" s="554"/>
      <c r="U15" s="569">
        <v>4.32</v>
      </c>
      <c r="V15" s="579">
        <v>4.32</v>
      </c>
      <c r="W15" s="620">
        <v>4.1400000000000006E-2</v>
      </c>
      <c r="X15" s="621">
        <v>1.3103895740829638E-2</v>
      </c>
      <c r="Y15" s="554"/>
      <c r="Z15" s="554"/>
      <c r="AA15" s="554"/>
      <c r="AB15" s="554"/>
      <c r="AC15" s="569">
        <v>19.059999999999999</v>
      </c>
      <c r="AD15" s="579">
        <v>19.059999999999999</v>
      </c>
      <c r="AE15" s="620">
        <v>4.3999999999999997E-2</v>
      </c>
      <c r="AF15" s="621">
        <v>1.2945285320142474E-2</v>
      </c>
      <c r="AG15" s="554"/>
      <c r="AH15" s="554"/>
      <c r="AI15" s="554"/>
      <c r="AJ15" s="554"/>
      <c r="AK15" s="569">
        <v>5.99</v>
      </c>
      <c r="AL15" s="579">
        <v>5.99</v>
      </c>
      <c r="AM15" s="620">
        <v>3.6499999999999998E-2</v>
      </c>
      <c r="AN15" s="621">
        <v>2.0963703966471407E-2</v>
      </c>
      <c r="AO15" s="554"/>
      <c r="AP15" s="554"/>
      <c r="AQ15" s="554"/>
      <c r="AR15" s="554"/>
      <c r="AS15" s="569">
        <v>3.22</v>
      </c>
      <c r="AT15" s="579">
        <v>3.22</v>
      </c>
      <c r="AU15" s="620">
        <v>2.8500000000000001E-2</v>
      </c>
      <c r="AV15" s="621">
        <v>1.77933418598283E-2</v>
      </c>
      <c r="AW15" s="554"/>
      <c r="AX15" s="554"/>
      <c r="AY15" s="554"/>
      <c r="AZ15" s="554"/>
      <c r="BA15" s="570">
        <v>4.5599999999999996</v>
      </c>
      <c r="BB15" s="579">
        <v>4.5599999999999996</v>
      </c>
      <c r="BC15" s="620"/>
      <c r="BD15" s="621">
        <v>2.0037819828205395E-2</v>
      </c>
      <c r="BE15" s="554"/>
      <c r="BF15" s="554"/>
      <c r="BG15" s="554"/>
      <c r="BH15" s="554"/>
      <c r="BI15" s="569">
        <v>11.63</v>
      </c>
      <c r="BJ15" s="579">
        <v>11.63</v>
      </c>
      <c r="BK15" s="620"/>
      <c r="BL15" s="621">
        <v>2.7799999999999998E-2</v>
      </c>
      <c r="BM15" s="554"/>
      <c r="BN15" s="554"/>
      <c r="BO15" s="554"/>
      <c r="BP15" s="554"/>
      <c r="BQ15" s="569">
        <v>0.82</v>
      </c>
      <c r="BR15" s="579">
        <v>5.66</v>
      </c>
      <c r="BS15" s="620"/>
      <c r="BT15" s="621">
        <v>1.0330651600874948E-2</v>
      </c>
      <c r="BU15" s="554"/>
      <c r="BV15" s="554"/>
      <c r="BW15" s="554"/>
      <c r="BX15" s="554"/>
      <c r="BY15" s="569">
        <v>0</v>
      </c>
      <c r="BZ15" s="579">
        <v>0.62</v>
      </c>
      <c r="CA15" s="620"/>
      <c r="CB15" s="621">
        <v>6.4000000000000003E-3</v>
      </c>
      <c r="CC15" s="554"/>
      <c r="CD15" s="554"/>
      <c r="CE15" s="554"/>
      <c r="CF15" s="554"/>
      <c r="CG15" s="569">
        <v>0</v>
      </c>
      <c r="CH15" s="579">
        <v>0.9</v>
      </c>
      <c r="CI15" s="620"/>
      <c r="CJ15" s="621">
        <v>7.6E-3</v>
      </c>
      <c r="CK15" s="554"/>
      <c r="CL15" s="554"/>
      <c r="CM15" s="554"/>
      <c r="CN15" s="554"/>
      <c r="CO15" s="569">
        <v>0.14000000000000001</v>
      </c>
      <c r="CP15" s="579">
        <v>11.09</v>
      </c>
      <c r="CQ15" s="620"/>
      <c r="CR15" s="621">
        <v>6.0000000000000001E-3</v>
      </c>
      <c r="CS15" s="554"/>
      <c r="CT15" s="554"/>
      <c r="CU15" s="554"/>
      <c r="CV15" s="554"/>
      <c r="CW15" s="569">
        <v>0</v>
      </c>
      <c r="CX15" s="579"/>
      <c r="CY15" s="620"/>
      <c r="CZ15" s="621"/>
      <c r="DA15" s="588"/>
      <c r="DB15" s="596"/>
      <c r="DC15" s="588"/>
      <c r="DD15" s="596"/>
      <c r="DE15" s="121">
        <f t="shared" ref="DE15:DH19" si="2">M15+U15+AC15+AK15+AS15+BA15+BI15+BQ15+BY15+CG15+CO15+CW15</f>
        <v>54.77</v>
      </c>
      <c r="DF15" s="121">
        <f t="shared" si="2"/>
        <v>72.08</v>
      </c>
      <c r="DG15" s="121">
        <f t="shared" si="2"/>
        <v>0.192</v>
      </c>
      <c r="DH15" s="657">
        <f t="shared" si="2"/>
        <v>0.16460902102411748</v>
      </c>
      <c r="DI15" s="657">
        <f>F15+DH15</f>
        <v>0.9528631871477663</v>
      </c>
    </row>
    <row r="16" spans="1:113">
      <c r="A16" s="263">
        <v>2</v>
      </c>
      <c r="B16" s="268" t="s">
        <v>743</v>
      </c>
      <c r="C16" s="138">
        <v>1105.23</v>
      </c>
      <c r="D16" s="138">
        <f t="shared" si="0"/>
        <v>1105.23</v>
      </c>
      <c r="E16" s="138">
        <v>357</v>
      </c>
      <c r="F16" s="632">
        <v>0.44164188047403069</v>
      </c>
      <c r="G16" s="634">
        <f t="shared" si="1"/>
        <v>0.54720000000000013</v>
      </c>
      <c r="H16" s="556">
        <v>357</v>
      </c>
      <c r="I16" s="554"/>
      <c r="J16" s="554"/>
      <c r="K16" s="554"/>
      <c r="L16" s="554"/>
      <c r="M16" s="569">
        <v>6.49</v>
      </c>
      <c r="N16" s="579">
        <v>6.49</v>
      </c>
      <c r="O16" s="620">
        <v>4.8399999999999999E-2</v>
      </c>
      <c r="P16" s="621">
        <v>4.8808428399009146E-2</v>
      </c>
      <c r="Q16" s="554"/>
      <c r="R16" s="554"/>
      <c r="S16" s="554"/>
      <c r="T16" s="554"/>
      <c r="U16" s="569">
        <v>25.88</v>
      </c>
      <c r="V16" s="579">
        <v>25.88</v>
      </c>
      <c r="W16" s="620">
        <v>6.3299999999999995E-2</v>
      </c>
      <c r="X16" s="621">
        <v>1.9235259371458847E-2</v>
      </c>
      <c r="Y16" s="554"/>
      <c r="Z16" s="554"/>
      <c r="AA16" s="554"/>
      <c r="AB16" s="554"/>
      <c r="AC16" s="569">
        <v>18.010000000000002</v>
      </c>
      <c r="AD16" s="579">
        <v>18.010000000000002</v>
      </c>
      <c r="AE16" s="620">
        <v>5.5199999999999999E-2</v>
      </c>
      <c r="AF16" s="621">
        <v>2.7368162972273964E-2</v>
      </c>
      <c r="AG16" s="554"/>
      <c r="AH16" s="554"/>
      <c r="AI16" s="554"/>
      <c r="AJ16" s="554"/>
      <c r="AK16" s="569">
        <v>44.22</v>
      </c>
      <c r="AL16" s="579">
        <v>44.22</v>
      </c>
      <c r="AM16" s="620">
        <v>6.2399999999999997E-2</v>
      </c>
      <c r="AN16" s="621">
        <v>3.900553119814399E-2</v>
      </c>
      <c r="AO16" s="554"/>
      <c r="AP16" s="554"/>
      <c r="AQ16" s="554"/>
      <c r="AR16" s="554"/>
      <c r="AS16" s="569">
        <v>36.65</v>
      </c>
      <c r="AT16" s="579">
        <v>36.65</v>
      </c>
      <c r="AU16" s="620">
        <v>6.7100000000000007E-2</v>
      </c>
      <c r="AV16" s="621">
        <v>2.7476693381368055E-2</v>
      </c>
      <c r="AW16" s="554"/>
      <c r="AX16" s="554"/>
      <c r="AY16" s="554"/>
      <c r="AZ16" s="554"/>
      <c r="BA16" s="569">
        <v>25.09</v>
      </c>
      <c r="BB16" s="579">
        <v>25.09</v>
      </c>
      <c r="BC16" s="620">
        <v>8.6400000000000005E-2</v>
      </c>
      <c r="BD16" s="621">
        <v>2.6338481504846814E-2</v>
      </c>
      <c r="BE16" s="554"/>
      <c r="BF16" s="554"/>
      <c r="BG16" s="554"/>
      <c r="BH16" s="554"/>
      <c r="BI16" s="569">
        <v>50.2</v>
      </c>
      <c r="BJ16" s="579">
        <v>50.2</v>
      </c>
      <c r="BK16" s="620">
        <v>3.8399999999999997E-2</v>
      </c>
      <c r="BL16" s="621">
        <v>3.6799999999999999E-2</v>
      </c>
      <c r="BM16" s="554"/>
      <c r="BN16" s="554"/>
      <c r="BO16" s="554"/>
      <c r="BP16" s="554"/>
      <c r="BQ16" s="569">
        <v>16.989999999999998</v>
      </c>
      <c r="BR16" s="579">
        <v>16.989999999999998</v>
      </c>
      <c r="BS16" s="620">
        <v>2.01E-2</v>
      </c>
      <c r="BT16" s="621">
        <v>3.5605429112379697E-2</v>
      </c>
      <c r="BU16" s="554"/>
      <c r="BV16" s="554"/>
      <c r="BW16" s="554"/>
      <c r="BX16" s="554"/>
      <c r="BY16" s="569">
        <v>30</v>
      </c>
      <c r="BZ16" s="579">
        <v>20.8</v>
      </c>
      <c r="CA16" s="620">
        <v>5.2999999999999999E-2</v>
      </c>
      <c r="CB16" s="621">
        <v>3.9899999999999998E-2</v>
      </c>
      <c r="CC16" s="554"/>
      <c r="CD16" s="554"/>
      <c r="CE16" s="554"/>
      <c r="CF16" s="554"/>
      <c r="CG16" s="569">
        <v>30</v>
      </c>
      <c r="CH16" s="579">
        <v>28.66</v>
      </c>
      <c r="CI16" s="620">
        <v>2.1299999999999999E-2</v>
      </c>
      <c r="CJ16" s="621">
        <v>8.0000000000000002E-3</v>
      </c>
      <c r="CK16" s="554"/>
      <c r="CL16" s="554"/>
      <c r="CM16" s="554"/>
      <c r="CN16" s="554"/>
      <c r="CO16" s="569">
        <v>30</v>
      </c>
      <c r="CP16" s="579">
        <v>53.54</v>
      </c>
      <c r="CQ16" s="620">
        <v>2.3E-2</v>
      </c>
      <c r="CR16" s="621">
        <f>(4.62+1.25)%</f>
        <v>5.8700000000000002E-2</v>
      </c>
      <c r="CS16" s="554"/>
      <c r="CT16" s="554"/>
      <c r="CU16" s="554"/>
      <c r="CV16" s="554"/>
      <c r="CW16" s="569">
        <v>43.47</v>
      </c>
      <c r="CX16" s="579"/>
      <c r="CY16" s="620">
        <v>8.6E-3</v>
      </c>
      <c r="CZ16" s="621"/>
      <c r="DA16" s="588"/>
      <c r="DB16" s="596"/>
      <c r="DC16" s="588"/>
      <c r="DD16" s="596"/>
      <c r="DE16" s="121">
        <f t="shared" si="2"/>
        <v>357</v>
      </c>
      <c r="DH16" s="657">
        <f t="shared" si="2"/>
        <v>0.36723798593948043</v>
      </c>
      <c r="DI16" s="657">
        <f t="shared" ref="DI16:DI19" si="3">F16+DH16</f>
        <v>0.80887986641351106</v>
      </c>
    </row>
    <row r="17" spans="1:113">
      <c r="A17" s="263">
        <v>3</v>
      </c>
      <c r="B17" s="268" t="s">
        <v>744</v>
      </c>
      <c r="C17" s="138">
        <v>69.62</v>
      </c>
      <c r="D17" s="138">
        <f t="shared" si="0"/>
        <v>69.62</v>
      </c>
      <c r="E17" s="138">
        <v>16</v>
      </c>
      <c r="F17" s="632">
        <v>0.62870000000000004</v>
      </c>
      <c r="G17" s="634">
        <f t="shared" si="1"/>
        <v>0.37130000000000002</v>
      </c>
      <c r="H17" s="556">
        <v>16</v>
      </c>
      <c r="I17" s="554"/>
      <c r="J17" s="554"/>
      <c r="K17" s="554"/>
      <c r="L17" s="554"/>
      <c r="M17" s="569">
        <v>1.79</v>
      </c>
      <c r="N17" s="579">
        <v>1.79</v>
      </c>
      <c r="O17" s="620">
        <v>2.8500000000000001E-2</v>
      </c>
      <c r="P17" s="621">
        <v>1.7000000000000001E-2</v>
      </c>
      <c r="Q17" s="554"/>
      <c r="R17" s="554"/>
      <c r="S17" s="554"/>
      <c r="T17" s="554"/>
      <c r="U17" s="569">
        <v>0.9</v>
      </c>
      <c r="V17" s="579">
        <v>0.9</v>
      </c>
      <c r="W17" s="620">
        <v>7.1099999999999997E-2</v>
      </c>
      <c r="X17" s="621">
        <v>6.4588747099767974E-2</v>
      </c>
      <c r="Y17" s="554"/>
      <c r="Z17" s="554"/>
      <c r="AA17" s="554"/>
      <c r="AB17" s="554"/>
      <c r="AC17" s="569">
        <v>1.69</v>
      </c>
      <c r="AD17" s="579">
        <v>1.69</v>
      </c>
      <c r="AE17" s="620">
        <v>3.6700000000000003E-2</v>
      </c>
      <c r="AF17" s="621">
        <v>5.9299999999999999E-2</v>
      </c>
      <c r="AG17" s="554"/>
      <c r="AH17" s="554"/>
      <c r="AI17" s="554"/>
      <c r="AJ17" s="554"/>
      <c r="AK17" s="569">
        <v>6.43</v>
      </c>
      <c r="AL17" s="579">
        <v>6.43</v>
      </c>
      <c r="AM17" s="620">
        <v>4.7500000000000001E-2</v>
      </c>
      <c r="AN17" s="621">
        <v>1.5155379930394432E-2</v>
      </c>
      <c r="AO17" s="554"/>
      <c r="AP17" s="554"/>
      <c r="AQ17" s="554"/>
      <c r="AR17" s="554"/>
      <c r="AS17" s="569">
        <v>0.56000000000000005</v>
      </c>
      <c r="AT17" s="579">
        <v>0.56000000000000005</v>
      </c>
      <c r="AU17" s="620">
        <v>2.0899999999999998E-2</v>
      </c>
      <c r="AV17" s="621">
        <v>4.052936484918794E-2</v>
      </c>
      <c r="AW17" s="554"/>
      <c r="AX17" s="554"/>
      <c r="AY17" s="554"/>
      <c r="AZ17" s="554"/>
      <c r="BA17" s="569">
        <v>0.52</v>
      </c>
      <c r="BB17" s="579">
        <v>0.52</v>
      </c>
      <c r="BC17" s="620">
        <v>0.1666</v>
      </c>
      <c r="BD17" s="621">
        <v>5.4942720417633407E-3</v>
      </c>
      <c r="BE17" s="554"/>
      <c r="BF17" s="554"/>
      <c r="BG17" s="554"/>
      <c r="BH17" s="554"/>
      <c r="BI17" s="569">
        <v>1.47</v>
      </c>
      <c r="BJ17" s="579">
        <v>1.47</v>
      </c>
      <c r="BK17" s="620"/>
      <c r="BL17" s="621">
        <v>0</v>
      </c>
      <c r="BM17" s="554"/>
      <c r="BN17" s="554"/>
      <c r="BO17" s="554"/>
      <c r="BP17" s="554"/>
      <c r="BQ17" s="569">
        <v>0.96</v>
      </c>
      <c r="BR17" s="579">
        <v>0.96</v>
      </c>
      <c r="BS17" s="620"/>
      <c r="BT17" s="621">
        <v>5.1803944315545244E-3</v>
      </c>
      <c r="BU17" s="554"/>
      <c r="BV17" s="554"/>
      <c r="BW17" s="554"/>
      <c r="BX17" s="554"/>
      <c r="BY17" s="569">
        <v>0</v>
      </c>
      <c r="BZ17" s="579">
        <v>0.15</v>
      </c>
      <c r="CA17" s="620"/>
      <c r="CB17" s="621">
        <v>1.2999999999999999E-3</v>
      </c>
      <c r="CC17" s="554"/>
      <c r="CD17" s="554"/>
      <c r="CE17" s="554"/>
      <c r="CF17" s="554"/>
      <c r="CG17" s="569">
        <v>0</v>
      </c>
      <c r="CH17" s="579">
        <v>0.95</v>
      </c>
      <c r="CI17" s="620"/>
      <c r="CJ17" s="621">
        <v>1E-4</v>
      </c>
      <c r="CK17" s="554"/>
      <c r="CL17" s="554"/>
      <c r="CM17" s="554"/>
      <c r="CN17" s="554"/>
      <c r="CO17" s="569">
        <v>0</v>
      </c>
      <c r="CP17" s="579">
        <v>0.63</v>
      </c>
      <c r="CQ17" s="620"/>
      <c r="CR17" s="621"/>
      <c r="CS17" s="554"/>
      <c r="CT17" s="554"/>
      <c r="CU17" s="554"/>
      <c r="CV17" s="554"/>
      <c r="CW17" s="569">
        <v>1.68</v>
      </c>
      <c r="CX17" s="579"/>
      <c r="CY17" s="620"/>
      <c r="CZ17" s="621"/>
      <c r="DA17" s="588"/>
      <c r="DB17" s="596"/>
      <c r="DC17" s="588"/>
      <c r="DD17" s="596"/>
      <c r="DE17" s="121">
        <f t="shared" si="2"/>
        <v>16</v>
      </c>
      <c r="DH17" s="657">
        <f t="shared" si="2"/>
        <v>0.2086481583526682</v>
      </c>
      <c r="DI17" s="657">
        <f t="shared" si="3"/>
        <v>0.83734815835266829</v>
      </c>
    </row>
    <row r="18" spans="1:113">
      <c r="A18" s="263">
        <v>4</v>
      </c>
      <c r="B18" s="268" t="s">
        <v>745</v>
      </c>
      <c r="C18" s="138">
        <v>96.62</v>
      </c>
      <c r="D18" s="138">
        <f t="shared" si="0"/>
        <v>96.62</v>
      </c>
      <c r="E18" s="138">
        <v>48</v>
      </c>
      <c r="F18" s="632">
        <v>0.1255</v>
      </c>
      <c r="G18" s="634">
        <f t="shared" si="1"/>
        <v>0.87449999999999994</v>
      </c>
      <c r="H18" s="556">
        <v>48</v>
      </c>
      <c r="I18" s="554"/>
      <c r="J18" s="554"/>
      <c r="K18" s="554"/>
      <c r="L18" s="554"/>
      <c r="M18" s="569">
        <v>1.73</v>
      </c>
      <c r="N18" s="579">
        <v>1.73</v>
      </c>
      <c r="O18" s="620">
        <v>3.3399999999999999E-2</v>
      </c>
      <c r="P18" s="621">
        <v>1.2200000000000001E-2</v>
      </c>
      <c r="Q18" s="554"/>
      <c r="R18" s="554"/>
      <c r="S18" s="554"/>
      <c r="T18" s="554"/>
      <c r="U18" s="569">
        <v>3.31</v>
      </c>
      <c r="V18" s="579">
        <v>3.31</v>
      </c>
      <c r="W18" s="620">
        <v>3.6200000000000003E-2</v>
      </c>
      <c r="X18" s="621">
        <v>2.2962776659959758E-2</v>
      </c>
      <c r="Y18" s="554"/>
      <c r="Z18" s="554"/>
      <c r="AA18" s="554"/>
      <c r="AB18" s="554"/>
      <c r="AC18" s="569">
        <v>0.53</v>
      </c>
      <c r="AD18" s="579">
        <v>0.53</v>
      </c>
      <c r="AE18" s="620">
        <v>2.4299999999999999E-2</v>
      </c>
      <c r="AF18" s="621">
        <v>3.2399999999999998E-2</v>
      </c>
      <c r="AG18" s="554"/>
      <c r="AH18" s="554"/>
      <c r="AI18" s="554"/>
      <c r="AJ18" s="554"/>
      <c r="AK18" s="569">
        <v>3.58</v>
      </c>
      <c r="AL18" s="579">
        <v>3.58</v>
      </c>
      <c r="AM18" s="620">
        <v>3.8800000000000001E-2</v>
      </c>
      <c r="AN18" s="621">
        <v>1.7641438911245248E-2</v>
      </c>
      <c r="AO18" s="554"/>
      <c r="AP18" s="554"/>
      <c r="AQ18" s="554"/>
      <c r="AR18" s="554"/>
      <c r="AS18" s="569">
        <v>3.1</v>
      </c>
      <c r="AT18" s="579">
        <v>3.1</v>
      </c>
      <c r="AU18" s="620">
        <v>6.7599999999999993E-2</v>
      </c>
      <c r="AV18" s="621">
        <v>1.653514839034205E-2</v>
      </c>
      <c r="AW18" s="554"/>
      <c r="AX18" s="554"/>
      <c r="AY18" s="554"/>
      <c r="AZ18" s="554"/>
      <c r="BA18" s="569">
        <v>2.34</v>
      </c>
      <c r="BB18" s="579">
        <v>2.34</v>
      </c>
      <c r="BC18" s="620">
        <v>0.1019</v>
      </c>
      <c r="BD18" s="621">
        <v>1.1877532413913166E-2</v>
      </c>
      <c r="BE18" s="554"/>
      <c r="BF18" s="554"/>
      <c r="BG18" s="554"/>
      <c r="BH18" s="554"/>
      <c r="BI18" s="569">
        <v>7.67</v>
      </c>
      <c r="BJ18" s="579">
        <v>7.67</v>
      </c>
      <c r="BK18" s="620">
        <v>0.1424</v>
      </c>
      <c r="BL18" s="621">
        <v>2.23E-2</v>
      </c>
      <c r="BM18" s="554"/>
      <c r="BN18" s="554"/>
      <c r="BO18" s="554"/>
      <c r="BP18" s="554"/>
      <c r="BQ18" s="569">
        <v>3.13</v>
      </c>
      <c r="BR18" s="579">
        <v>3.13</v>
      </c>
      <c r="BS18" s="620">
        <v>0.13850000000000001</v>
      </c>
      <c r="BT18" s="621">
        <v>1.4905699672400262E-2</v>
      </c>
      <c r="BU18" s="554"/>
      <c r="BV18" s="554"/>
      <c r="BW18" s="554"/>
      <c r="BX18" s="554"/>
      <c r="BY18" s="569">
        <v>5</v>
      </c>
      <c r="BZ18" s="579">
        <v>6.15</v>
      </c>
      <c r="CA18" s="620">
        <v>0.11409999999999999</v>
      </c>
      <c r="CB18" s="621">
        <v>7.5700000000000003E-2</v>
      </c>
      <c r="CC18" s="554"/>
      <c r="CD18" s="554"/>
      <c r="CE18" s="554"/>
      <c r="CF18" s="554"/>
      <c r="CG18" s="569">
        <v>5</v>
      </c>
      <c r="CH18" s="579">
        <v>5.41</v>
      </c>
      <c r="CI18" s="620">
        <v>0.1216</v>
      </c>
      <c r="CJ18" s="621">
        <v>0.18679999999999999</v>
      </c>
      <c r="CK18" s="554"/>
      <c r="CL18" s="554"/>
      <c r="CM18" s="554"/>
      <c r="CN18" s="554"/>
      <c r="CO18" s="569">
        <v>5</v>
      </c>
      <c r="CP18" s="579">
        <v>5.15</v>
      </c>
      <c r="CQ18" s="620">
        <v>5.57E-2</v>
      </c>
      <c r="CR18" s="621">
        <v>8.4000000000000005E-2</v>
      </c>
      <c r="CS18" s="554"/>
      <c r="CT18" s="554"/>
      <c r="CU18" s="554"/>
      <c r="CV18" s="554"/>
      <c r="CW18" s="569">
        <v>7.61</v>
      </c>
      <c r="CX18" s="579"/>
      <c r="CY18" s="620">
        <v>0</v>
      </c>
      <c r="CZ18" s="621"/>
      <c r="DA18" s="588"/>
      <c r="DB18" s="596"/>
      <c r="DC18" s="588"/>
      <c r="DD18" s="596"/>
      <c r="DE18" s="121">
        <f t="shared" si="2"/>
        <v>48</v>
      </c>
      <c r="DH18" s="657">
        <f t="shared" si="2"/>
        <v>0.4973225960478605</v>
      </c>
      <c r="DI18" s="657">
        <f t="shared" si="3"/>
        <v>0.6228225960478605</v>
      </c>
    </row>
    <row r="19" spans="1:113">
      <c r="A19" s="263">
        <v>5</v>
      </c>
      <c r="B19" s="268" t="s">
        <v>763</v>
      </c>
      <c r="C19" s="138">
        <v>0</v>
      </c>
      <c r="D19" s="138">
        <f t="shared" si="0"/>
        <v>0</v>
      </c>
      <c r="E19" s="138"/>
      <c r="F19" s="632"/>
      <c r="G19" s="634"/>
      <c r="H19" s="556">
        <v>0</v>
      </c>
      <c r="I19" s="554"/>
      <c r="J19" s="554"/>
      <c r="K19" s="554"/>
      <c r="L19" s="554"/>
      <c r="M19" s="569"/>
      <c r="N19" s="579"/>
      <c r="O19" s="620"/>
      <c r="P19" s="621"/>
      <c r="Q19" s="554"/>
      <c r="R19" s="554"/>
      <c r="S19" s="554"/>
      <c r="T19" s="554"/>
      <c r="U19" s="569"/>
      <c r="V19" s="579"/>
      <c r="W19" s="620"/>
      <c r="X19" s="621"/>
      <c r="Y19" s="554"/>
      <c r="Z19" s="554"/>
      <c r="AA19" s="554"/>
      <c r="AB19" s="554"/>
      <c r="AC19" s="569"/>
      <c r="AD19" s="579"/>
      <c r="AE19" s="620"/>
      <c r="AF19" s="621"/>
      <c r="AG19" s="554"/>
      <c r="AH19" s="554"/>
      <c r="AI19" s="554"/>
      <c r="AJ19" s="554"/>
      <c r="AK19" s="569"/>
      <c r="AL19" s="579"/>
      <c r="AM19" s="620"/>
      <c r="AN19" s="621"/>
      <c r="AO19" s="554"/>
      <c r="AP19" s="554"/>
      <c r="AQ19" s="554"/>
      <c r="AR19" s="554"/>
      <c r="AS19" s="569"/>
      <c r="AT19" s="579"/>
      <c r="AU19" s="620"/>
      <c r="AV19" s="621"/>
      <c r="AW19" s="554"/>
      <c r="AX19" s="554"/>
      <c r="AY19" s="554"/>
      <c r="AZ19" s="554"/>
      <c r="BA19" s="569"/>
      <c r="BB19" s="579"/>
      <c r="BC19" s="620"/>
      <c r="BD19" s="621"/>
      <c r="BE19" s="554"/>
      <c r="BF19" s="554"/>
      <c r="BG19" s="554"/>
      <c r="BH19" s="554"/>
      <c r="BI19" s="569"/>
      <c r="BJ19" s="579"/>
      <c r="BK19" s="620"/>
      <c r="BL19" s="621"/>
      <c r="BM19" s="554"/>
      <c r="BN19" s="554"/>
      <c r="BO19" s="554"/>
      <c r="BP19" s="554"/>
      <c r="BQ19" s="569"/>
      <c r="BR19" s="579"/>
      <c r="BS19" s="620"/>
      <c r="BT19" s="621"/>
      <c r="BU19" s="554"/>
      <c r="BV19" s="554"/>
      <c r="BW19" s="554"/>
      <c r="BX19" s="554"/>
      <c r="BY19" s="569"/>
      <c r="BZ19" s="579"/>
      <c r="CA19" s="620"/>
      <c r="CB19" s="621"/>
      <c r="CC19" s="554"/>
      <c r="CD19" s="554"/>
      <c r="CE19" s="554"/>
      <c r="CF19" s="554"/>
      <c r="CG19" s="569"/>
      <c r="CH19" s="579"/>
      <c r="CI19" s="620"/>
      <c r="CJ19" s="621"/>
      <c r="CK19" s="554"/>
      <c r="CL19" s="554"/>
      <c r="CM19" s="554"/>
      <c r="CN19" s="554"/>
      <c r="CO19" s="569"/>
      <c r="CP19" s="579"/>
      <c r="CQ19" s="620"/>
      <c r="CR19" s="621"/>
      <c r="CS19" s="554"/>
      <c r="CT19" s="554"/>
      <c r="CU19" s="554"/>
      <c r="CV19" s="554"/>
      <c r="CW19" s="569"/>
      <c r="CX19" s="579"/>
      <c r="CY19" s="620"/>
      <c r="CZ19" s="621"/>
      <c r="DA19" s="653"/>
      <c r="DB19" s="654"/>
      <c r="DC19" s="653"/>
      <c r="DD19" s="654"/>
      <c r="DH19" s="657">
        <f t="shared" si="2"/>
        <v>0</v>
      </c>
      <c r="DI19" s="657">
        <f t="shared" si="3"/>
        <v>0</v>
      </c>
    </row>
    <row r="20" spans="1:113">
      <c r="A20" s="263"/>
      <c r="B20" s="319" t="s">
        <v>746</v>
      </c>
      <c r="C20" s="138"/>
      <c r="D20" s="138"/>
      <c r="E20" s="138"/>
      <c r="F20" s="632"/>
      <c r="G20" s="138"/>
      <c r="H20" s="138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54"/>
      <c r="AB20" s="554"/>
      <c r="AC20" s="554"/>
      <c r="AD20" s="554"/>
      <c r="AE20" s="554"/>
      <c r="AF20" s="554"/>
      <c r="AG20" s="554"/>
      <c r="AH20" s="554"/>
      <c r="AI20" s="554"/>
      <c r="AJ20" s="554"/>
      <c r="AK20" s="554"/>
      <c r="AL20" s="554"/>
      <c r="AM20" s="554"/>
      <c r="AN20" s="554"/>
      <c r="AO20" s="554"/>
      <c r="AP20" s="554"/>
      <c r="AQ20" s="554"/>
      <c r="AR20" s="554"/>
      <c r="AS20" s="554"/>
      <c r="AT20" s="554"/>
      <c r="AU20" s="554"/>
      <c r="AV20" s="554"/>
      <c r="AW20" s="554"/>
      <c r="AX20" s="554"/>
      <c r="AY20" s="554"/>
      <c r="AZ20" s="554"/>
      <c r="BA20" s="554"/>
      <c r="BB20" s="554"/>
      <c r="BC20" s="554"/>
      <c r="BD20" s="554"/>
      <c r="BE20" s="554"/>
      <c r="BF20" s="554"/>
      <c r="BG20" s="554"/>
      <c r="BH20" s="554"/>
      <c r="BI20" s="554"/>
      <c r="BJ20" s="554"/>
      <c r="BK20" s="554"/>
      <c r="BL20" s="554"/>
      <c r="BM20" s="554"/>
      <c r="BN20" s="554"/>
      <c r="BO20" s="554"/>
      <c r="BP20" s="554"/>
      <c r="BQ20" s="554"/>
      <c r="BR20" s="554"/>
      <c r="BS20" s="554"/>
      <c r="BT20" s="554"/>
      <c r="BU20" s="554"/>
      <c r="BV20" s="554"/>
      <c r="BW20" s="554"/>
      <c r="BX20" s="554"/>
      <c r="BY20" s="554"/>
      <c r="BZ20" s="554"/>
      <c r="CA20" s="554"/>
      <c r="CB20" s="554"/>
      <c r="CC20" s="554"/>
      <c r="CD20" s="554"/>
      <c r="CE20" s="554"/>
      <c r="CF20" s="554"/>
      <c r="CG20" s="554"/>
      <c r="CH20" s="554"/>
      <c r="CI20" s="554"/>
      <c r="CJ20" s="554"/>
      <c r="CK20" s="554"/>
      <c r="CL20" s="554"/>
      <c r="CM20" s="554"/>
      <c r="CN20" s="554"/>
      <c r="CO20" s="554"/>
      <c r="CP20" s="554"/>
      <c r="CQ20" s="554"/>
      <c r="CR20" s="554"/>
      <c r="CS20" s="554"/>
      <c r="CT20" s="554"/>
      <c r="CU20" s="554"/>
      <c r="CV20" s="554"/>
      <c r="CW20" s="554"/>
      <c r="CX20" s="554"/>
      <c r="CY20" s="554"/>
      <c r="CZ20" s="554"/>
      <c r="DA20" s="121"/>
      <c r="DB20" s="121"/>
      <c r="DC20" s="121"/>
      <c r="DD20" s="121"/>
    </row>
    <row r="21" spans="1:113" s="131" customFormat="1" ht="15">
      <c r="A21" s="263"/>
      <c r="B21" s="502" t="s">
        <v>469</v>
      </c>
      <c r="C21" s="675"/>
      <c r="D21" s="138"/>
      <c r="E21" s="138"/>
      <c r="F21" s="632"/>
      <c r="G21" s="632"/>
      <c r="H21" s="138">
        <v>200</v>
      </c>
      <c r="I21" s="557"/>
      <c r="J21" s="557"/>
      <c r="K21" s="557"/>
      <c r="L21" s="557"/>
      <c r="M21" s="571"/>
      <c r="N21" s="581"/>
      <c r="O21" s="623"/>
      <c r="P21" s="624"/>
      <c r="Q21" s="557"/>
      <c r="R21" s="557"/>
      <c r="S21" s="557"/>
      <c r="T21" s="557"/>
      <c r="U21" s="571"/>
      <c r="V21" s="581"/>
      <c r="W21" s="623"/>
      <c r="X21" s="624"/>
      <c r="Y21" s="557"/>
      <c r="Z21" s="557"/>
      <c r="AA21" s="557"/>
      <c r="AB21" s="557"/>
      <c r="AC21" s="571"/>
      <c r="AD21" s="581"/>
      <c r="AE21" s="623"/>
      <c r="AF21" s="624"/>
      <c r="AG21" s="557"/>
      <c r="AH21" s="557"/>
      <c r="AI21" s="557"/>
      <c r="AJ21" s="557"/>
      <c r="AK21" s="571"/>
      <c r="AL21" s="581"/>
      <c r="AM21" s="623"/>
      <c r="AN21" s="624"/>
      <c r="AO21" s="557"/>
      <c r="AP21" s="557"/>
      <c r="AQ21" s="557"/>
      <c r="AR21" s="557"/>
      <c r="AS21" s="571"/>
      <c r="AT21" s="581"/>
      <c r="AU21" s="623"/>
      <c r="AV21" s="624"/>
      <c r="AW21" s="557"/>
      <c r="AX21" s="557"/>
      <c r="AY21" s="557"/>
      <c r="AZ21" s="557"/>
      <c r="BA21" s="571">
        <v>26.33</v>
      </c>
      <c r="BB21" s="581">
        <v>26.33</v>
      </c>
      <c r="BC21" s="623"/>
      <c r="BD21" s="624"/>
      <c r="BE21" s="557"/>
      <c r="BF21" s="557"/>
      <c r="BG21" s="557"/>
      <c r="BH21" s="557"/>
      <c r="BI21" s="571">
        <v>29.41</v>
      </c>
      <c r="BJ21" s="581">
        <v>29.41</v>
      </c>
      <c r="BK21" s="623"/>
      <c r="BL21" s="624"/>
      <c r="BM21" s="557"/>
      <c r="BN21" s="557"/>
      <c r="BO21" s="557"/>
      <c r="BP21" s="557"/>
      <c r="BQ21" s="571">
        <v>26.54</v>
      </c>
      <c r="BR21" s="581">
        <v>26.54</v>
      </c>
      <c r="BS21" s="623"/>
      <c r="BT21" s="624"/>
      <c r="BU21" s="557"/>
      <c r="BV21" s="557"/>
      <c r="BW21" s="557"/>
      <c r="BX21" s="557"/>
      <c r="BY21" s="571">
        <v>4</v>
      </c>
      <c r="BZ21" s="581">
        <v>27.08</v>
      </c>
      <c r="CA21" s="623"/>
      <c r="CB21" s="624"/>
      <c r="CC21" s="557"/>
      <c r="CD21" s="557"/>
      <c r="CE21" s="557"/>
      <c r="CF21" s="557"/>
      <c r="CG21" s="571">
        <v>5</v>
      </c>
      <c r="CH21" s="685">
        <v>7.69</v>
      </c>
      <c r="CI21" s="623"/>
      <c r="CJ21" s="624"/>
      <c r="CK21" s="557"/>
      <c r="CL21" s="557"/>
      <c r="CM21" s="557"/>
      <c r="CN21" s="557"/>
      <c r="CO21" s="571">
        <v>5</v>
      </c>
      <c r="CP21" s="581">
        <v>41.9</v>
      </c>
      <c r="CQ21" s="623"/>
      <c r="CR21" s="624"/>
      <c r="CS21" s="557"/>
      <c r="CT21" s="557"/>
      <c r="CU21" s="557"/>
      <c r="CV21" s="557"/>
      <c r="CW21" s="571">
        <v>5.63</v>
      </c>
      <c r="CX21" s="581"/>
      <c r="CY21" s="623"/>
      <c r="CZ21" s="624"/>
      <c r="DA21" s="589"/>
      <c r="DB21" s="597"/>
      <c r="DC21" s="589"/>
      <c r="DD21" s="597"/>
      <c r="DE21" s="121">
        <f t="shared" ref="DE21:DE22" si="4">M21+U21+AC21+AK21+AS21+BA21+BI21+BQ21+BY21+CG21+CO21+CW21</f>
        <v>101.91</v>
      </c>
      <c r="DH21" s="660"/>
    </row>
    <row r="22" spans="1:113" s="605" customFormat="1">
      <c r="A22" s="606" t="s">
        <v>29</v>
      </c>
      <c r="B22" s="600" t="s">
        <v>77</v>
      </c>
      <c r="C22" s="601">
        <f t="shared" ref="C22:H22" si="5">SUM(C15:C21)</f>
        <v>1705.0499999999997</v>
      </c>
      <c r="D22" s="601">
        <f t="shared" si="5"/>
        <v>1705.0499999999997</v>
      </c>
      <c r="E22" s="601">
        <f t="shared" si="5"/>
        <v>474.15</v>
      </c>
      <c r="F22" s="633"/>
      <c r="G22" s="633"/>
      <c r="H22" s="601">
        <f t="shared" si="5"/>
        <v>674.15</v>
      </c>
      <c r="I22" s="592"/>
      <c r="J22" s="592"/>
      <c r="K22" s="592"/>
      <c r="L22" s="592"/>
      <c r="M22" s="592">
        <v>15.04</v>
      </c>
      <c r="N22" s="592">
        <f t="shared" ref="N22" si="6">SUM(N15:N21)</f>
        <v>15.04</v>
      </c>
      <c r="O22" s="622"/>
      <c r="P22" s="622"/>
      <c r="Q22" s="592"/>
      <c r="R22" s="592"/>
      <c r="S22" s="592"/>
      <c r="T22" s="592"/>
      <c r="U22" s="592">
        <v>34.409999999999997</v>
      </c>
      <c r="V22" s="592">
        <f t="shared" ref="V22" si="7">SUM(V15:V21)</f>
        <v>34.409999999999997</v>
      </c>
      <c r="W22" s="622"/>
      <c r="X22" s="622"/>
      <c r="Y22" s="592"/>
      <c r="Z22" s="592"/>
      <c r="AA22" s="592"/>
      <c r="AB22" s="592"/>
      <c r="AC22" s="592">
        <v>39.29</v>
      </c>
      <c r="AD22" s="592">
        <f t="shared" ref="AD22" si="8">SUM(AD15:AD21)</f>
        <v>39.29</v>
      </c>
      <c r="AE22" s="622"/>
      <c r="AF22" s="622"/>
      <c r="AG22" s="592"/>
      <c r="AH22" s="592"/>
      <c r="AI22" s="592"/>
      <c r="AJ22" s="592"/>
      <c r="AK22" s="592">
        <v>60.22</v>
      </c>
      <c r="AL22" s="592">
        <f t="shared" ref="AL22" si="9">SUM(AL15:AL21)</f>
        <v>60.22</v>
      </c>
      <c r="AM22" s="622"/>
      <c r="AN22" s="622"/>
      <c r="AO22" s="592"/>
      <c r="AP22" s="592"/>
      <c r="AQ22" s="592"/>
      <c r="AR22" s="592"/>
      <c r="AS22" s="592">
        <v>43.53</v>
      </c>
      <c r="AT22" s="592">
        <f t="shared" ref="AT22" si="10">SUM(AT15:AT21)</f>
        <v>43.53</v>
      </c>
      <c r="AU22" s="622"/>
      <c r="AV22" s="622"/>
      <c r="AW22" s="592"/>
      <c r="AX22" s="592"/>
      <c r="AY22" s="592"/>
      <c r="AZ22" s="592"/>
      <c r="BA22" s="592">
        <v>58.839999999999996</v>
      </c>
      <c r="BB22" s="592">
        <f t="shared" ref="BB22" si="11">SUM(BB15:BB21)</f>
        <v>58.839999999999996</v>
      </c>
      <c r="BC22" s="622"/>
      <c r="BD22" s="622"/>
      <c r="BE22" s="592"/>
      <c r="BF22" s="592"/>
      <c r="BG22" s="592"/>
      <c r="BH22" s="592"/>
      <c r="BI22" s="592">
        <v>100.38</v>
      </c>
      <c r="BJ22" s="592">
        <f t="shared" ref="BJ22" si="12">SUM(BJ15:BJ21)</f>
        <v>100.38</v>
      </c>
      <c r="BK22" s="622"/>
      <c r="BL22" s="622"/>
      <c r="BM22" s="592"/>
      <c r="BN22" s="592"/>
      <c r="BO22" s="592"/>
      <c r="BP22" s="592"/>
      <c r="BQ22" s="592">
        <f t="shared" ref="BQ22:BR22" si="13">SUM(BQ15:BQ21)</f>
        <v>48.44</v>
      </c>
      <c r="BR22" s="592">
        <f t="shared" si="13"/>
        <v>53.28</v>
      </c>
      <c r="BS22" s="622"/>
      <c r="BT22" s="622"/>
      <c r="BU22" s="592"/>
      <c r="BV22" s="592"/>
      <c r="BW22" s="592"/>
      <c r="BX22" s="592"/>
      <c r="BY22" s="592">
        <f t="shared" ref="BY22:BZ22" si="14">SUM(BY15:BY21)</f>
        <v>39</v>
      </c>
      <c r="BZ22" s="592">
        <f t="shared" si="14"/>
        <v>54.8</v>
      </c>
      <c r="CA22" s="622"/>
      <c r="CB22" s="622"/>
      <c r="CC22" s="592"/>
      <c r="CD22" s="592"/>
      <c r="CE22" s="592"/>
      <c r="CF22" s="592"/>
      <c r="CG22" s="592">
        <f t="shared" ref="CG22:CH22" si="15">SUM(CG15:CG21)</f>
        <v>40</v>
      </c>
      <c r="CH22" s="592">
        <f t="shared" si="15"/>
        <v>43.61</v>
      </c>
      <c r="CI22" s="622"/>
      <c r="CJ22" s="622"/>
      <c r="CK22" s="592"/>
      <c r="CL22" s="592"/>
      <c r="CM22" s="592"/>
      <c r="CN22" s="592"/>
      <c r="CO22" s="592">
        <f t="shared" ref="CO22:CP22" si="16">SUM(CO15:CO21)</f>
        <v>40.14</v>
      </c>
      <c r="CP22" s="592">
        <f t="shared" si="16"/>
        <v>112.31</v>
      </c>
      <c r="CQ22" s="622"/>
      <c r="CR22" s="622"/>
      <c r="CS22" s="592"/>
      <c r="CT22" s="592"/>
      <c r="CU22" s="592"/>
      <c r="CV22" s="592"/>
      <c r="CW22" s="592">
        <f t="shared" ref="CW22:CX22" si="17">SUM(CW15:CW21)</f>
        <v>58.39</v>
      </c>
      <c r="CX22" s="592">
        <f t="shared" si="17"/>
        <v>0</v>
      </c>
      <c r="CY22" s="622"/>
      <c r="CZ22" s="622"/>
      <c r="DA22" s="592"/>
      <c r="DB22" s="592"/>
      <c r="DC22" s="602"/>
      <c r="DD22" s="602"/>
      <c r="DE22" s="121">
        <f t="shared" si="4"/>
        <v>577.67999999999995</v>
      </c>
      <c r="DH22" s="661"/>
    </row>
    <row r="23" spans="1:113">
      <c r="A23" s="263"/>
      <c r="B23" s="158"/>
      <c r="C23" s="553"/>
      <c r="D23" s="553"/>
      <c r="E23" s="553"/>
      <c r="F23" s="631"/>
      <c r="G23" s="553"/>
      <c r="H23" s="553"/>
      <c r="I23" s="555"/>
      <c r="J23" s="555"/>
      <c r="K23" s="555"/>
      <c r="L23" s="555"/>
      <c r="M23" s="555"/>
      <c r="N23" s="555"/>
      <c r="O23" s="555"/>
      <c r="P23" s="555"/>
      <c r="Q23" s="555"/>
      <c r="R23" s="555"/>
      <c r="S23" s="555"/>
      <c r="T23" s="555"/>
      <c r="U23" s="555"/>
      <c r="V23" s="555"/>
      <c r="W23" s="555"/>
      <c r="X23" s="555"/>
      <c r="Y23" s="555"/>
      <c r="Z23" s="555"/>
      <c r="AA23" s="555"/>
      <c r="AB23" s="555"/>
      <c r="AC23" s="555"/>
      <c r="AD23" s="555"/>
      <c r="AE23" s="555"/>
      <c r="AF23" s="555"/>
      <c r="AG23" s="555"/>
      <c r="AH23" s="555"/>
      <c r="AI23" s="555"/>
      <c r="AJ23" s="555"/>
      <c r="AK23" s="555"/>
      <c r="AL23" s="555"/>
      <c r="AM23" s="555"/>
      <c r="AN23" s="555"/>
      <c r="AO23" s="555"/>
      <c r="AP23" s="555"/>
      <c r="AQ23" s="555"/>
      <c r="AR23" s="555"/>
      <c r="AS23" s="555"/>
      <c r="AT23" s="555"/>
      <c r="AU23" s="555"/>
      <c r="AV23" s="555"/>
      <c r="AW23" s="555"/>
      <c r="AX23" s="555"/>
      <c r="AY23" s="555"/>
      <c r="AZ23" s="555"/>
      <c r="BA23" s="555"/>
      <c r="BB23" s="555"/>
      <c r="BC23" s="555"/>
      <c r="BD23" s="555"/>
      <c r="BE23" s="555"/>
      <c r="BF23" s="555"/>
      <c r="BG23" s="555"/>
      <c r="BH23" s="555"/>
      <c r="BI23" s="555"/>
      <c r="BJ23" s="555"/>
      <c r="BK23" s="555"/>
      <c r="BL23" s="555"/>
      <c r="BM23" s="555"/>
      <c r="BN23" s="555"/>
      <c r="BO23" s="555"/>
      <c r="BP23" s="555"/>
      <c r="BQ23" s="555"/>
      <c r="BR23" s="555"/>
      <c r="BS23" s="555"/>
      <c r="BT23" s="555"/>
      <c r="BU23" s="555"/>
      <c r="BV23" s="555"/>
      <c r="BW23" s="555"/>
      <c r="BX23" s="555"/>
      <c r="BY23" s="555"/>
      <c r="BZ23" s="555"/>
      <c r="CA23" s="555"/>
      <c r="CB23" s="555"/>
      <c r="CC23" s="555"/>
      <c r="CD23" s="555"/>
      <c r="CE23" s="555"/>
      <c r="CF23" s="555"/>
      <c r="CG23" s="555"/>
      <c r="CH23" s="555"/>
      <c r="CI23" s="555"/>
      <c r="CJ23" s="555"/>
      <c r="CK23" s="555"/>
      <c r="CL23" s="555"/>
      <c r="CM23" s="555"/>
      <c r="CN23" s="555"/>
      <c r="CO23" s="555"/>
      <c r="CP23" s="555"/>
      <c r="CQ23" s="555"/>
      <c r="CR23" s="555"/>
      <c r="CS23" s="555"/>
      <c r="CT23" s="555"/>
      <c r="CU23" s="555"/>
      <c r="CV23" s="555"/>
      <c r="CW23" s="555"/>
      <c r="CX23" s="555"/>
      <c r="CY23" s="555"/>
      <c r="CZ23" s="555"/>
      <c r="DA23" s="121"/>
      <c r="DB23" s="121"/>
      <c r="DC23" s="121"/>
      <c r="DD23" s="121"/>
    </row>
    <row r="24" spans="1:113">
      <c r="A24" s="519" t="s">
        <v>688</v>
      </c>
      <c r="B24" s="517" t="s">
        <v>703</v>
      </c>
      <c r="C24" s="553"/>
      <c r="D24" s="553"/>
      <c r="E24" s="553"/>
      <c r="F24" s="631"/>
      <c r="G24" s="553"/>
      <c r="H24" s="553"/>
      <c r="I24" s="555"/>
      <c r="J24" s="555"/>
      <c r="K24" s="555"/>
      <c r="L24" s="555"/>
      <c r="M24" s="555"/>
      <c r="N24" s="555"/>
      <c r="O24" s="555"/>
      <c r="P24" s="555"/>
      <c r="Q24" s="555"/>
      <c r="R24" s="555"/>
      <c r="S24" s="555"/>
      <c r="T24" s="555"/>
      <c r="U24" s="555"/>
      <c r="V24" s="555"/>
      <c r="W24" s="555"/>
      <c r="X24" s="555"/>
      <c r="Y24" s="555"/>
      <c r="Z24" s="555"/>
      <c r="AA24" s="555"/>
      <c r="AB24" s="555"/>
      <c r="AC24" s="555"/>
      <c r="AD24" s="555"/>
      <c r="AE24" s="555"/>
      <c r="AF24" s="555"/>
      <c r="AG24" s="555"/>
      <c r="AH24" s="555"/>
      <c r="AI24" s="555"/>
      <c r="AJ24" s="555"/>
      <c r="AK24" s="555"/>
      <c r="AL24" s="555"/>
      <c r="AM24" s="555"/>
      <c r="AN24" s="555"/>
      <c r="AO24" s="555"/>
      <c r="AP24" s="555"/>
      <c r="AQ24" s="555"/>
      <c r="AR24" s="555"/>
      <c r="AS24" s="555"/>
      <c r="AT24" s="555"/>
      <c r="AU24" s="555"/>
      <c r="AV24" s="555"/>
      <c r="AW24" s="555"/>
      <c r="AX24" s="555"/>
      <c r="AY24" s="555"/>
      <c r="AZ24" s="555"/>
      <c r="BA24" s="555"/>
      <c r="BB24" s="555"/>
      <c r="BC24" s="555"/>
      <c r="BD24" s="555"/>
      <c r="BE24" s="555"/>
      <c r="BF24" s="555"/>
      <c r="BG24" s="555"/>
      <c r="BH24" s="555"/>
      <c r="BI24" s="555"/>
      <c r="BJ24" s="555"/>
      <c r="BK24" s="555"/>
      <c r="BL24" s="555"/>
      <c r="BM24" s="555"/>
      <c r="BN24" s="555"/>
      <c r="BO24" s="555"/>
      <c r="BP24" s="555"/>
      <c r="BQ24" s="555"/>
      <c r="BR24" s="555"/>
      <c r="BS24" s="555"/>
      <c r="BT24" s="555"/>
      <c r="BU24" s="555"/>
      <c r="BV24" s="555"/>
      <c r="BW24" s="555"/>
      <c r="BX24" s="555"/>
      <c r="BY24" s="555"/>
      <c r="BZ24" s="555"/>
      <c r="CA24" s="555"/>
      <c r="CB24" s="555"/>
      <c r="CC24" s="555"/>
      <c r="CD24" s="555"/>
      <c r="CE24" s="555"/>
      <c r="CF24" s="555"/>
      <c r="CG24" s="555"/>
      <c r="CH24" s="555"/>
      <c r="CI24" s="555"/>
      <c r="CJ24" s="555"/>
      <c r="CK24" s="555"/>
      <c r="CL24" s="555"/>
      <c r="CM24" s="555"/>
      <c r="CN24" s="555"/>
      <c r="CO24" s="555"/>
      <c r="CP24" s="555"/>
      <c r="CQ24" s="555"/>
      <c r="CR24" s="555"/>
      <c r="CS24" s="555"/>
      <c r="CT24" s="555"/>
      <c r="CU24" s="555"/>
      <c r="CV24" s="555"/>
      <c r="CW24" s="555"/>
      <c r="CX24" s="555"/>
      <c r="CY24" s="555"/>
      <c r="CZ24" s="555"/>
      <c r="DA24" s="121"/>
      <c r="DB24" s="121"/>
      <c r="DC24" s="121"/>
      <c r="DD24" s="121"/>
    </row>
    <row r="25" spans="1:113">
      <c r="A25" s="158"/>
      <c r="B25" s="517" t="s">
        <v>691</v>
      </c>
      <c r="C25" s="558"/>
      <c r="D25" s="558"/>
      <c r="E25" s="558"/>
      <c r="F25" s="631"/>
      <c r="G25" s="553"/>
      <c r="H25" s="553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55"/>
      <c r="AB25" s="555"/>
      <c r="AC25" s="555"/>
      <c r="AD25" s="555"/>
      <c r="AE25" s="555"/>
      <c r="AF25" s="555"/>
      <c r="AG25" s="555"/>
      <c r="AH25" s="555"/>
      <c r="AI25" s="555"/>
      <c r="AJ25" s="555"/>
      <c r="AK25" s="555"/>
      <c r="AL25" s="555"/>
      <c r="AM25" s="555"/>
      <c r="AN25" s="555"/>
      <c r="AO25" s="555"/>
      <c r="AP25" s="555"/>
      <c r="AQ25" s="555"/>
      <c r="AR25" s="555"/>
      <c r="AS25" s="555"/>
      <c r="AT25" s="555"/>
      <c r="AU25" s="555"/>
      <c r="AV25" s="555"/>
      <c r="AW25" s="555"/>
      <c r="AX25" s="555"/>
      <c r="AY25" s="555"/>
      <c r="AZ25" s="555"/>
      <c r="BA25" s="555"/>
      <c r="BB25" s="555"/>
      <c r="BC25" s="555"/>
      <c r="BD25" s="555"/>
      <c r="BE25" s="555"/>
      <c r="BF25" s="555"/>
      <c r="BG25" s="555"/>
      <c r="BH25" s="555"/>
      <c r="BI25" s="555"/>
      <c r="BJ25" s="555"/>
      <c r="BK25" s="555"/>
      <c r="BL25" s="555"/>
      <c r="BM25" s="555"/>
      <c r="BN25" s="555"/>
      <c r="BO25" s="555"/>
      <c r="BP25" s="555"/>
      <c r="BQ25" s="555"/>
      <c r="BR25" s="555"/>
      <c r="BS25" s="555"/>
      <c r="BT25" s="555"/>
      <c r="BU25" s="555"/>
      <c r="BV25" s="555"/>
      <c r="BW25" s="555"/>
      <c r="BX25" s="555"/>
      <c r="BY25" s="555"/>
      <c r="BZ25" s="555"/>
      <c r="CA25" s="555"/>
      <c r="CB25" s="555"/>
      <c r="CC25" s="555"/>
      <c r="CD25" s="555"/>
      <c r="CE25" s="555"/>
      <c r="CF25" s="555"/>
      <c r="CG25" s="555"/>
      <c r="CH25" s="555"/>
      <c r="CI25" s="555"/>
      <c r="CJ25" s="555"/>
      <c r="CK25" s="555"/>
      <c r="CL25" s="555"/>
      <c r="CM25" s="555"/>
      <c r="CN25" s="555"/>
      <c r="CO25" s="555"/>
      <c r="CP25" s="555"/>
      <c r="CQ25" s="555"/>
      <c r="CR25" s="555"/>
      <c r="CS25" s="555"/>
      <c r="CT25" s="555"/>
      <c r="CU25" s="555"/>
      <c r="CV25" s="555"/>
      <c r="CW25" s="555"/>
      <c r="CX25" s="555"/>
      <c r="CY25" s="555"/>
      <c r="CZ25" s="555"/>
      <c r="DA25" s="121"/>
      <c r="DB25" s="121"/>
      <c r="DC25" s="121"/>
      <c r="DD25" s="121"/>
    </row>
    <row r="26" spans="1:113">
      <c r="A26" s="263"/>
      <c r="B26" s="158"/>
      <c r="C26" s="553"/>
      <c r="D26" s="553"/>
      <c r="E26" s="553"/>
      <c r="F26" s="631"/>
      <c r="G26" s="553"/>
      <c r="H26" s="553"/>
      <c r="I26" s="555"/>
      <c r="J26" s="555"/>
      <c r="K26" s="555"/>
      <c r="L26" s="555"/>
      <c r="M26" s="555"/>
      <c r="N26" s="555"/>
      <c r="O26" s="555"/>
      <c r="P26" s="555"/>
      <c r="Q26" s="555"/>
      <c r="R26" s="555"/>
      <c r="S26" s="555"/>
      <c r="T26" s="555"/>
      <c r="U26" s="555"/>
      <c r="V26" s="555"/>
      <c r="W26" s="555"/>
      <c r="X26" s="555"/>
      <c r="Y26" s="555"/>
      <c r="Z26" s="555"/>
      <c r="AA26" s="555"/>
      <c r="AB26" s="555"/>
      <c r="AC26" s="555"/>
      <c r="AD26" s="555"/>
      <c r="AE26" s="555"/>
      <c r="AF26" s="555"/>
      <c r="AG26" s="555"/>
      <c r="AH26" s="555"/>
      <c r="AI26" s="555"/>
      <c r="AJ26" s="555"/>
      <c r="AK26" s="555"/>
      <c r="AL26" s="555"/>
      <c r="AM26" s="555"/>
      <c r="AN26" s="555"/>
      <c r="AO26" s="555"/>
      <c r="AP26" s="555"/>
      <c r="AQ26" s="555"/>
      <c r="AR26" s="555"/>
      <c r="AS26" s="555"/>
      <c r="AT26" s="555"/>
      <c r="AU26" s="555"/>
      <c r="AV26" s="555"/>
      <c r="AW26" s="555"/>
      <c r="AX26" s="555"/>
      <c r="AY26" s="555"/>
      <c r="AZ26" s="555"/>
      <c r="BA26" s="555"/>
      <c r="BB26" s="555"/>
      <c r="BC26" s="555"/>
      <c r="BD26" s="555"/>
      <c r="BE26" s="555"/>
      <c r="BF26" s="555"/>
      <c r="BG26" s="555"/>
      <c r="BH26" s="555"/>
      <c r="BI26" s="555"/>
      <c r="BJ26" s="555"/>
      <c r="BK26" s="555"/>
      <c r="BL26" s="555"/>
      <c r="BM26" s="555"/>
      <c r="BN26" s="555"/>
      <c r="BO26" s="555"/>
      <c r="BP26" s="555"/>
      <c r="BQ26" s="555"/>
      <c r="BR26" s="555"/>
      <c r="BS26" s="555"/>
      <c r="BT26" s="555"/>
      <c r="BU26" s="555"/>
      <c r="BV26" s="555"/>
      <c r="BW26" s="555"/>
      <c r="BX26" s="555"/>
      <c r="BY26" s="555"/>
      <c r="BZ26" s="555"/>
      <c r="CA26" s="555"/>
      <c r="CB26" s="555"/>
      <c r="CC26" s="555"/>
      <c r="CD26" s="555"/>
      <c r="CE26" s="555"/>
      <c r="CF26" s="555"/>
      <c r="CG26" s="555"/>
      <c r="CH26" s="555"/>
      <c r="CI26" s="555"/>
      <c r="CJ26" s="555"/>
      <c r="CK26" s="555"/>
      <c r="CL26" s="555"/>
      <c r="CM26" s="555"/>
      <c r="CN26" s="555"/>
      <c r="CO26" s="555"/>
      <c r="CP26" s="555"/>
      <c r="CQ26" s="555"/>
      <c r="CR26" s="555"/>
      <c r="CS26" s="555"/>
      <c r="CT26" s="555"/>
      <c r="CU26" s="555"/>
      <c r="CV26" s="555"/>
      <c r="CW26" s="555"/>
      <c r="CX26" s="555"/>
      <c r="CY26" s="555"/>
      <c r="CZ26" s="555"/>
      <c r="DA26" s="121"/>
      <c r="DB26" s="121"/>
      <c r="DC26" s="121"/>
      <c r="DD26" s="121"/>
    </row>
    <row r="27" spans="1:113" s="612" customFormat="1">
      <c r="A27" s="599"/>
      <c r="B27" s="600" t="s">
        <v>680</v>
      </c>
      <c r="C27" s="601">
        <f>C6+C12+C22</f>
        <v>16103.22</v>
      </c>
      <c r="D27" s="601">
        <f>D6+D12+D22</f>
        <v>16103.22</v>
      </c>
      <c r="E27" s="601">
        <f>E6+E12+E22</f>
        <v>14796.699999999999</v>
      </c>
      <c r="F27" s="633"/>
      <c r="G27" s="633"/>
      <c r="H27" s="601">
        <f>H6+H12+H22</f>
        <v>689.65</v>
      </c>
      <c r="I27" s="592"/>
      <c r="J27" s="592"/>
      <c r="K27" s="592"/>
      <c r="L27" s="592"/>
      <c r="M27" s="592">
        <v>19.39</v>
      </c>
      <c r="N27" s="592">
        <f>N6+N12+N22</f>
        <v>19.39</v>
      </c>
      <c r="O27" s="622"/>
      <c r="P27" s="622"/>
      <c r="Q27" s="592"/>
      <c r="R27" s="592"/>
      <c r="S27" s="592"/>
      <c r="T27" s="592"/>
      <c r="U27" s="592">
        <v>34.409999999999997</v>
      </c>
      <c r="V27" s="592">
        <f>V6+V12+V22</f>
        <v>34.409999999999997</v>
      </c>
      <c r="W27" s="622"/>
      <c r="X27" s="622"/>
      <c r="Y27" s="592"/>
      <c r="Z27" s="592"/>
      <c r="AA27" s="592"/>
      <c r="AB27" s="592"/>
      <c r="AC27" s="592">
        <v>40.869999999999997</v>
      </c>
      <c r="AD27" s="592">
        <f>AD6+AD12+AD22</f>
        <v>40.869999999999997</v>
      </c>
      <c r="AE27" s="622"/>
      <c r="AF27" s="622"/>
      <c r="AG27" s="592"/>
      <c r="AH27" s="592"/>
      <c r="AI27" s="592"/>
      <c r="AJ27" s="592"/>
      <c r="AK27" s="592">
        <v>60.66</v>
      </c>
      <c r="AL27" s="592">
        <f>AL6+AL12+AL22</f>
        <v>60.66</v>
      </c>
      <c r="AM27" s="622"/>
      <c r="AN27" s="622"/>
      <c r="AO27" s="592"/>
      <c r="AP27" s="592"/>
      <c r="AQ27" s="592"/>
      <c r="AR27" s="592"/>
      <c r="AS27" s="592">
        <v>43.910000000000004</v>
      </c>
      <c r="AT27" s="592">
        <f>AT6+AT12+AT22</f>
        <v>43.910000000000004</v>
      </c>
      <c r="AU27" s="622"/>
      <c r="AV27" s="622"/>
      <c r="AW27" s="592"/>
      <c r="AX27" s="592"/>
      <c r="AY27" s="592"/>
      <c r="AZ27" s="592"/>
      <c r="BA27" s="592">
        <v>59.48</v>
      </c>
      <c r="BB27" s="592">
        <f>BB6+BB12+BB22</f>
        <v>59.48</v>
      </c>
      <c r="BC27" s="622"/>
      <c r="BD27" s="622"/>
      <c r="BE27" s="592"/>
      <c r="BF27" s="592"/>
      <c r="BG27" s="592"/>
      <c r="BH27" s="592"/>
      <c r="BI27" s="592">
        <v>100.47999999999999</v>
      </c>
      <c r="BJ27" s="592">
        <f>BJ6+BJ12+BJ22</f>
        <v>100.47999999999999</v>
      </c>
      <c r="BK27" s="622"/>
      <c r="BL27" s="622"/>
      <c r="BM27" s="592"/>
      <c r="BN27" s="592"/>
      <c r="BO27" s="592"/>
      <c r="BP27" s="592"/>
      <c r="BQ27" s="592">
        <f>BQ6+BQ12+BQ22</f>
        <v>48.44</v>
      </c>
      <c r="BR27" s="592">
        <f>BR6+BR12+BR22</f>
        <v>53.46</v>
      </c>
      <c r="BS27" s="622"/>
      <c r="BT27" s="622"/>
      <c r="BU27" s="592"/>
      <c r="BV27" s="592"/>
      <c r="BW27" s="592"/>
      <c r="BX27" s="592"/>
      <c r="BY27" s="592">
        <f>BY6+BY12+BY22</f>
        <v>39</v>
      </c>
      <c r="BZ27" s="592">
        <f>BZ6+BZ12+BZ22</f>
        <v>54.971864999999994</v>
      </c>
      <c r="CA27" s="622"/>
      <c r="CB27" s="622"/>
      <c r="CC27" s="592"/>
      <c r="CD27" s="592"/>
      <c r="CE27" s="592"/>
      <c r="CF27" s="592"/>
      <c r="CG27" s="592">
        <f>CG6+CG12+CG22</f>
        <v>40</v>
      </c>
      <c r="CH27" s="592">
        <f>CH6+CH12+CH22</f>
        <v>43.75</v>
      </c>
      <c r="CI27" s="622"/>
      <c r="CJ27" s="622"/>
      <c r="CK27" s="592"/>
      <c r="CL27" s="592"/>
      <c r="CM27" s="592"/>
      <c r="CN27" s="592"/>
      <c r="CO27" s="592">
        <f>CO6+CO12+CO22</f>
        <v>40.32</v>
      </c>
      <c r="CP27" s="592">
        <f>CP6+CP12+CP22</f>
        <v>112.31</v>
      </c>
      <c r="CQ27" s="622"/>
      <c r="CR27" s="622"/>
      <c r="CS27" s="592"/>
      <c r="CT27" s="592"/>
      <c r="CU27" s="592"/>
      <c r="CV27" s="592"/>
      <c r="CW27" s="592">
        <f>CW6+CW12+CW22</f>
        <v>61.93</v>
      </c>
      <c r="CX27" s="592">
        <f>CX6+CX12+CX22</f>
        <v>0</v>
      </c>
      <c r="CY27" s="622"/>
      <c r="CZ27" s="622"/>
      <c r="DA27" s="592"/>
      <c r="DB27" s="592"/>
      <c r="DC27" s="602"/>
      <c r="DD27" s="602"/>
      <c r="DE27" s="121">
        <f>M27+U27+AC27+AK27+AS27+BA27+BI27+BQ27+BY27+CG27+CO27+CW27</f>
        <v>588.88999999999987</v>
      </c>
      <c r="DH27" s="662"/>
    </row>
    <row r="28" spans="1:113" s="128" customFormat="1">
      <c r="A28" s="499"/>
      <c r="B28" s="158"/>
      <c r="C28" s="553"/>
      <c r="D28" s="553"/>
      <c r="E28" s="553"/>
      <c r="F28" s="631"/>
      <c r="G28" s="553"/>
      <c r="H28" s="553"/>
      <c r="I28" s="554"/>
      <c r="J28" s="554"/>
      <c r="K28" s="554"/>
      <c r="L28" s="554"/>
      <c r="M28" s="554"/>
      <c r="N28" s="554"/>
      <c r="O28" s="554"/>
      <c r="P28" s="554"/>
      <c r="Q28" s="554"/>
      <c r="R28" s="554"/>
      <c r="S28" s="554"/>
      <c r="T28" s="554"/>
      <c r="U28" s="554"/>
      <c r="V28" s="554"/>
      <c r="W28" s="554"/>
      <c r="X28" s="554"/>
      <c r="Y28" s="554"/>
      <c r="Z28" s="554"/>
      <c r="AA28" s="554"/>
      <c r="AB28" s="554"/>
      <c r="AC28" s="554"/>
      <c r="AD28" s="554"/>
      <c r="AE28" s="554"/>
      <c r="AF28" s="554"/>
      <c r="AG28" s="554"/>
      <c r="AH28" s="554"/>
      <c r="AI28" s="554"/>
      <c r="AJ28" s="554"/>
      <c r="AK28" s="554"/>
      <c r="AL28" s="554"/>
      <c r="AM28" s="554"/>
      <c r="AN28" s="554"/>
      <c r="AO28" s="554"/>
      <c r="AP28" s="554"/>
      <c r="AQ28" s="554"/>
      <c r="AR28" s="554"/>
      <c r="AS28" s="554"/>
      <c r="AT28" s="554"/>
      <c r="AU28" s="554"/>
      <c r="AV28" s="554"/>
      <c r="AW28" s="554"/>
      <c r="AX28" s="554"/>
      <c r="AY28" s="554"/>
      <c r="AZ28" s="554"/>
      <c r="BA28" s="554"/>
      <c r="BB28" s="554"/>
      <c r="BC28" s="554"/>
      <c r="BD28" s="554"/>
      <c r="BE28" s="554"/>
      <c r="BF28" s="554"/>
      <c r="BG28" s="554"/>
      <c r="BH28" s="554"/>
      <c r="BI28" s="554"/>
      <c r="BJ28" s="554"/>
      <c r="BK28" s="554"/>
      <c r="BL28" s="554"/>
      <c r="BM28" s="554"/>
      <c r="BN28" s="554"/>
      <c r="BO28" s="554"/>
      <c r="BP28" s="554"/>
      <c r="BQ28" s="554"/>
      <c r="BR28" s="554"/>
      <c r="BS28" s="554"/>
      <c r="BT28" s="554"/>
      <c r="BU28" s="554"/>
      <c r="BV28" s="554"/>
      <c r="BW28" s="554"/>
      <c r="BX28" s="554"/>
      <c r="BY28" s="554"/>
      <c r="BZ28" s="554"/>
      <c r="CA28" s="554"/>
      <c r="CB28" s="554"/>
      <c r="CC28" s="554"/>
      <c r="CD28" s="554"/>
      <c r="CE28" s="554"/>
      <c r="CF28" s="554"/>
      <c r="CG28" s="554"/>
      <c r="CH28" s="554"/>
      <c r="CI28" s="554"/>
      <c r="CJ28" s="554"/>
      <c r="CK28" s="554"/>
      <c r="CL28" s="554"/>
      <c r="CM28" s="554"/>
      <c r="CN28" s="554"/>
      <c r="CO28" s="554"/>
      <c r="CP28" s="554"/>
      <c r="CQ28" s="554"/>
      <c r="CR28" s="554"/>
      <c r="CS28" s="554"/>
      <c r="CT28" s="554"/>
      <c r="CU28" s="554"/>
      <c r="CV28" s="554"/>
      <c r="CW28" s="554"/>
      <c r="CX28" s="554"/>
      <c r="CY28" s="554"/>
      <c r="CZ28" s="554"/>
      <c r="DH28" s="659"/>
    </row>
    <row r="29" spans="1:113">
      <c r="A29" s="499" t="s">
        <v>70</v>
      </c>
      <c r="B29" s="190" t="s">
        <v>472</v>
      </c>
      <c r="C29" s="138"/>
      <c r="D29" s="138"/>
      <c r="E29" s="138"/>
      <c r="F29" s="632"/>
      <c r="G29" s="138"/>
      <c r="H29" s="138"/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Y29" s="554"/>
      <c r="Z29" s="554"/>
      <c r="AA29" s="554"/>
      <c r="AB29" s="554"/>
      <c r="AC29" s="554"/>
      <c r="AD29" s="554"/>
      <c r="AE29" s="554"/>
      <c r="AF29" s="554"/>
      <c r="AG29" s="554"/>
      <c r="AH29" s="554"/>
      <c r="AI29" s="554"/>
      <c r="AJ29" s="554"/>
      <c r="AK29" s="554"/>
      <c r="AL29" s="554"/>
      <c r="AM29" s="554"/>
      <c r="AN29" s="554"/>
      <c r="AO29" s="554"/>
      <c r="AP29" s="554"/>
      <c r="AQ29" s="554"/>
      <c r="AR29" s="554"/>
      <c r="AS29" s="554"/>
      <c r="AT29" s="554"/>
      <c r="AU29" s="554"/>
      <c r="AV29" s="554"/>
      <c r="AW29" s="554"/>
      <c r="AX29" s="554"/>
      <c r="AY29" s="554"/>
      <c r="AZ29" s="554"/>
      <c r="BA29" s="554"/>
      <c r="BB29" s="554"/>
      <c r="BC29" s="554"/>
      <c r="BD29" s="554"/>
      <c r="BE29" s="554"/>
      <c r="BF29" s="554"/>
      <c r="BG29" s="554"/>
      <c r="BH29" s="554"/>
      <c r="BI29" s="554"/>
      <c r="BJ29" s="554"/>
      <c r="BK29" s="554"/>
      <c r="BL29" s="554"/>
      <c r="BM29" s="554"/>
      <c r="BN29" s="554"/>
      <c r="BO29" s="554"/>
      <c r="BP29" s="554"/>
      <c r="BQ29" s="554"/>
      <c r="BR29" s="554"/>
      <c r="BS29" s="554"/>
      <c r="BT29" s="554"/>
      <c r="BU29" s="554"/>
      <c r="BV29" s="554"/>
      <c r="BW29" s="554"/>
      <c r="BX29" s="554"/>
      <c r="BY29" s="554"/>
      <c r="BZ29" s="554"/>
      <c r="CA29" s="554"/>
      <c r="CB29" s="554"/>
      <c r="CC29" s="554"/>
      <c r="CD29" s="554"/>
      <c r="CE29" s="554"/>
      <c r="CF29" s="554"/>
      <c r="CG29" s="554"/>
      <c r="CH29" s="554"/>
      <c r="CI29" s="554"/>
      <c r="CJ29" s="554"/>
      <c r="CK29" s="554"/>
      <c r="CL29" s="554"/>
      <c r="CM29" s="554"/>
      <c r="CN29" s="554"/>
      <c r="CO29" s="554"/>
      <c r="CP29" s="554"/>
      <c r="CQ29" s="554"/>
      <c r="CR29" s="554"/>
      <c r="CS29" s="554"/>
      <c r="CT29" s="554"/>
      <c r="CU29" s="554"/>
      <c r="CV29" s="554"/>
      <c r="CW29" s="554"/>
      <c r="CX29" s="554"/>
      <c r="CY29" s="554"/>
      <c r="CZ29" s="554"/>
      <c r="DA29" s="121"/>
      <c r="DB29" s="121"/>
      <c r="DC29" s="121"/>
      <c r="DD29" s="121"/>
    </row>
    <row r="30" spans="1:113">
      <c r="A30" s="499" t="s">
        <v>473</v>
      </c>
      <c r="B30" s="191" t="s">
        <v>56</v>
      </c>
      <c r="C30" s="138"/>
      <c r="D30" s="138"/>
      <c r="E30" s="138"/>
      <c r="F30" s="632"/>
      <c r="G30" s="138"/>
      <c r="H30" s="138"/>
      <c r="I30" s="554"/>
      <c r="J30" s="554"/>
      <c r="K30" s="554"/>
      <c r="L30" s="554"/>
      <c r="M30" s="554"/>
      <c r="N30" s="554"/>
      <c r="O30" s="554"/>
      <c r="P30" s="554"/>
      <c r="Q30" s="554"/>
      <c r="R30" s="554"/>
      <c r="S30" s="554"/>
      <c r="T30" s="554"/>
      <c r="U30" s="554"/>
      <c r="V30" s="554"/>
      <c r="W30" s="554"/>
      <c r="X30" s="554"/>
      <c r="Y30" s="554"/>
      <c r="Z30" s="554"/>
      <c r="AA30" s="554"/>
      <c r="AB30" s="554"/>
      <c r="AC30" s="554"/>
      <c r="AD30" s="554"/>
      <c r="AE30" s="554"/>
      <c r="AF30" s="554"/>
      <c r="AG30" s="554"/>
      <c r="AH30" s="554"/>
      <c r="AI30" s="554"/>
      <c r="AJ30" s="554"/>
      <c r="AK30" s="554"/>
      <c r="AL30" s="554"/>
      <c r="AM30" s="554"/>
      <c r="AN30" s="554"/>
      <c r="AO30" s="554"/>
      <c r="AP30" s="554"/>
      <c r="AQ30" s="554"/>
      <c r="AR30" s="554"/>
      <c r="AS30" s="554"/>
      <c r="AT30" s="554"/>
      <c r="AU30" s="554"/>
      <c r="AV30" s="554"/>
      <c r="AW30" s="554"/>
      <c r="AX30" s="554"/>
      <c r="AY30" s="554"/>
      <c r="AZ30" s="554"/>
      <c r="BA30" s="554"/>
      <c r="BB30" s="554"/>
      <c r="BC30" s="554"/>
      <c r="BD30" s="554"/>
      <c r="BE30" s="554"/>
      <c r="BF30" s="554"/>
      <c r="BG30" s="554"/>
      <c r="BH30" s="554"/>
      <c r="BI30" s="554"/>
      <c r="BJ30" s="554"/>
      <c r="BK30" s="554"/>
      <c r="BL30" s="554"/>
      <c r="BM30" s="554"/>
      <c r="BN30" s="554"/>
      <c r="BO30" s="554"/>
      <c r="BP30" s="554"/>
      <c r="BQ30" s="554"/>
      <c r="BR30" s="554"/>
      <c r="BS30" s="554"/>
      <c r="BT30" s="554"/>
      <c r="BU30" s="554"/>
      <c r="BV30" s="554"/>
      <c r="BW30" s="554"/>
      <c r="BX30" s="554"/>
      <c r="BY30" s="554"/>
      <c r="BZ30" s="554"/>
      <c r="CA30" s="554"/>
      <c r="CB30" s="554"/>
      <c r="CC30" s="554"/>
      <c r="CD30" s="554"/>
      <c r="CE30" s="554"/>
      <c r="CF30" s="554"/>
      <c r="CG30" s="554"/>
      <c r="CH30" s="554"/>
      <c r="CI30" s="554"/>
      <c r="CJ30" s="554"/>
      <c r="CK30" s="554"/>
      <c r="CL30" s="554"/>
      <c r="CM30" s="554"/>
      <c r="CN30" s="554"/>
      <c r="CO30" s="554"/>
      <c r="CP30" s="554"/>
      <c r="CQ30" s="554"/>
      <c r="CR30" s="554"/>
      <c r="CS30" s="554"/>
      <c r="CT30" s="554"/>
      <c r="CU30" s="554"/>
      <c r="CV30" s="554"/>
      <c r="CW30" s="554"/>
      <c r="CX30" s="554"/>
      <c r="CY30" s="554"/>
      <c r="CZ30" s="554"/>
      <c r="DA30" s="121"/>
      <c r="DB30" s="121"/>
      <c r="DC30" s="121"/>
      <c r="DD30" s="121"/>
    </row>
    <row r="31" spans="1:113">
      <c r="A31" s="263">
        <v>1</v>
      </c>
      <c r="B31" s="150" t="s">
        <v>747</v>
      </c>
      <c r="C31" s="138">
        <v>76.59</v>
      </c>
      <c r="D31" s="138">
        <f t="shared" ref="D31:D36" si="18">C31</f>
        <v>76.59</v>
      </c>
      <c r="E31" s="511">
        <v>0.66</v>
      </c>
      <c r="F31" s="634"/>
      <c r="G31" s="634"/>
      <c r="H31" s="138">
        <v>9</v>
      </c>
      <c r="I31" s="554"/>
      <c r="J31" s="554"/>
      <c r="K31" s="554"/>
      <c r="L31" s="554"/>
      <c r="M31" s="569"/>
      <c r="N31" s="579"/>
      <c r="O31" s="620"/>
      <c r="P31" s="621"/>
      <c r="Q31" s="554"/>
      <c r="R31" s="554"/>
      <c r="S31" s="554"/>
      <c r="T31" s="554"/>
      <c r="U31" s="569"/>
      <c r="V31" s="579"/>
      <c r="W31" s="620"/>
      <c r="X31" s="621"/>
      <c r="Y31" s="554"/>
      <c r="Z31" s="554"/>
      <c r="AA31" s="554"/>
      <c r="AB31" s="554"/>
      <c r="AC31" s="569">
        <v>0.18</v>
      </c>
      <c r="AD31" s="579">
        <v>0.18</v>
      </c>
      <c r="AE31" s="620"/>
      <c r="AF31" s="621"/>
      <c r="AG31" s="554"/>
      <c r="AH31" s="554"/>
      <c r="AI31" s="554"/>
      <c r="AJ31" s="554"/>
      <c r="AK31" s="569"/>
      <c r="AL31" s="579"/>
      <c r="AM31" s="620"/>
      <c r="AN31" s="621"/>
      <c r="AO31" s="554"/>
      <c r="AP31" s="554"/>
      <c r="AQ31" s="554"/>
      <c r="AR31" s="554"/>
      <c r="AS31" s="569"/>
      <c r="AT31" s="579"/>
      <c r="AU31" s="620"/>
      <c r="AV31" s="621"/>
      <c r="AW31" s="554"/>
      <c r="AX31" s="554"/>
      <c r="AY31" s="554"/>
      <c r="AZ31" s="554"/>
      <c r="BA31" s="569">
        <v>0.08</v>
      </c>
      <c r="BB31" s="579">
        <v>0.08</v>
      </c>
      <c r="BC31" s="620"/>
      <c r="BD31" s="621"/>
      <c r="BE31" s="554"/>
      <c r="BF31" s="554"/>
      <c r="BG31" s="554"/>
      <c r="BH31" s="554"/>
      <c r="BI31" s="569"/>
      <c r="BJ31" s="579"/>
      <c r="BK31" s="620"/>
      <c r="BL31" s="621"/>
      <c r="BM31" s="554"/>
      <c r="BN31" s="554"/>
      <c r="BO31" s="554"/>
      <c r="BP31" s="554"/>
      <c r="BQ31" s="569">
        <v>0</v>
      </c>
      <c r="BR31" s="579">
        <v>0.01</v>
      </c>
      <c r="BS31" s="620"/>
      <c r="BT31" s="621"/>
      <c r="BU31" s="554"/>
      <c r="BV31" s="554"/>
      <c r="BW31" s="554"/>
      <c r="BX31" s="554"/>
      <c r="BY31" s="569"/>
      <c r="BZ31" s="579"/>
      <c r="CA31" s="620"/>
      <c r="CB31" s="621"/>
      <c r="CC31" s="554"/>
      <c r="CD31" s="554"/>
      <c r="CE31" s="554"/>
      <c r="CF31" s="554"/>
      <c r="CG31" s="569"/>
      <c r="CH31" s="579"/>
      <c r="CI31" s="620"/>
      <c r="CJ31" s="621"/>
      <c r="CK31" s="554"/>
      <c r="CL31" s="554"/>
      <c r="CM31" s="554"/>
      <c r="CN31" s="554"/>
      <c r="CO31" s="569">
        <v>0</v>
      </c>
      <c r="CP31" s="579"/>
      <c r="CQ31" s="620"/>
      <c r="CR31" s="621"/>
      <c r="CS31" s="554"/>
      <c r="CT31" s="554"/>
      <c r="CU31" s="554"/>
      <c r="CV31" s="554"/>
      <c r="CW31" s="569">
        <v>0</v>
      </c>
      <c r="CX31" s="579"/>
      <c r="CY31" s="620"/>
      <c r="CZ31" s="621"/>
      <c r="DA31" s="588"/>
      <c r="DB31" s="596"/>
      <c r="DC31" s="588"/>
      <c r="DD31" s="596"/>
      <c r="DE31" s="121">
        <f t="shared" ref="DE31:DE32" si="19">M31+U31+AC31+AK31+AS31+BA31+BI31+BQ31+BY31+CG31+CO31+CW31</f>
        <v>0.26</v>
      </c>
    </row>
    <row r="32" spans="1:113">
      <c r="A32" s="263">
        <v>2</v>
      </c>
      <c r="B32" s="506" t="s">
        <v>748</v>
      </c>
      <c r="C32" s="138">
        <v>2882.53</v>
      </c>
      <c r="D32" s="138">
        <f t="shared" si="18"/>
        <v>2882.53</v>
      </c>
      <c r="E32" s="511">
        <v>12.14</v>
      </c>
      <c r="F32" s="634"/>
      <c r="G32" s="634"/>
      <c r="H32" s="138">
        <v>136.25</v>
      </c>
      <c r="I32" s="554"/>
      <c r="J32" s="554"/>
      <c r="K32" s="554"/>
      <c r="L32" s="554"/>
      <c r="M32" s="569"/>
      <c r="N32" s="579"/>
      <c r="O32" s="620"/>
      <c r="P32" s="621"/>
      <c r="Q32" s="554"/>
      <c r="R32" s="554"/>
      <c r="S32" s="554"/>
      <c r="T32" s="554"/>
      <c r="U32" s="569"/>
      <c r="V32" s="579"/>
      <c r="W32" s="620"/>
      <c r="X32" s="621"/>
      <c r="Y32" s="554"/>
      <c r="Z32" s="554"/>
      <c r="AA32" s="554"/>
      <c r="AB32" s="554"/>
      <c r="AC32" s="569">
        <v>0.12</v>
      </c>
      <c r="AD32" s="579">
        <v>0.12</v>
      </c>
      <c r="AE32" s="620"/>
      <c r="AF32" s="621"/>
      <c r="AG32" s="554"/>
      <c r="AH32" s="554"/>
      <c r="AI32" s="554"/>
      <c r="AJ32" s="554"/>
      <c r="AK32" s="569"/>
      <c r="AL32" s="579"/>
      <c r="AM32" s="620"/>
      <c r="AN32" s="621"/>
      <c r="AO32" s="554"/>
      <c r="AP32" s="554"/>
      <c r="AQ32" s="554"/>
      <c r="AR32" s="554"/>
      <c r="AS32" s="569">
        <v>0.16</v>
      </c>
      <c r="AT32" s="579">
        <v>0.16</v>
      </c>
      <c r="AU32" s="620"/>
      <c r="AV32" s="621"/>
      <c r="AW32" s="554"/>
      <c r="AX32" s="554"/>
      <c r="AY32" s="554"/>
      <c r="AZ32" s="554"/>
      <c r="BA32" s="569">
        <v>0.12</v>
      </c>
      <c r="BB32" s="579">
        <v>0.12</v>
      </c>
      <c r="BC32" s="620"/>
      <c r="BD32" s="621"/>
      <c r="BE32" s="554"/>
      <c r="BF32" s="554"/>
      <c r="BG32" s="554"/>
      <c r="BH32" s="554"/>
      <c r="BI32" s="569"/>
      <c r="BJ32" s="579"/>
      <c r="BK32" s="620"/>
      <c r="BL32" s="621"/>
      <c r="BM32" s="554"/>
      <c r="BN32" s="554"/>
      <c r="BO32" s="554"/>
      <c r="BP32" s="554"/>
      <c r="BQ32" s="569">
        <v>0</v>
      </c>
      <c r="BR32" s="579">
        <v>0.64</v>
      </c>
      <c r="BS32" s="620"/>
      <c r="BT32" s="621"/>
      <c r="BU32" s="554"/>
      <c r="BV32" s="554"/>
      <c r="BW32" s="554"/>
      <c r="BX32" s="554"/>
      <c r="BY32" s="569">
        <v>50</v>
      </c>
      <c r="BZ32" s="579"/>
      <c r="CA32" s="620"/>
      <c r="CB32" s="621"/>
      <c r="CC32" s="554"/>
      <c r="CD32" s="554"/>
      <c r="CE32" s="554"/>
      <c r="CF32" s="554"/>
      <c r="CG32" s="569">
        <v>30</v>
      </c>
      <c r="CH32" s="579">
        <v>48.26</v>
      </c>
      <c r="CI32" s="620"/>
      <c r="CJ32" s="621"/>
      <c r="CK32" s="554"/>
      <c r="CL32" s="554"/>
      <c r="CM32" s="554"/>
      <c r="CN32" s="554"/>
      <c r="CO32" s="569">
        <v>19.600000000000001</v>
      </c>
      <c r="CP32" s="579"/>
      <c r="CQ32" s="620"/>
      <c r="CR32" s="621"/>
      <c r="CS32" s="554"/>
      <c r="CT32" s="554"/>
      <c r="CU32" s="554"/>
      <c r="CV32" s="554"/>
      <c r="CW32" s="569">
        <v>0</v>
      </c>
      <c r="CX32" s="579"/>
      <c r="CY32" s="620"/>
      <c r="CZ32" s="621"/>
      <c r="DA32" s="588"/>
      <c r="DB32" s="596"/>
      <c r="DC32" s="588"/>
      <c r="DD32" s="596"/>
      <c r="DE32" s="121">
        <f t="shared" si="19"/>
        <v>100</v>
      </c>
    </row>
    <row r="33" spans="1:112">
      <c r="A33" s="263">
        <v>3</v>
      </c>
      <c r="B33" s="507" t="s">
        <v>760</v>
      </c>
      <c r="C33" s="138">
        <v>0</v>
      </c>
      <c r="D33" s="138">
        <f t="shared" si="18"/>
        <v>0</v>
      </c>
      <c r="E33" s="511"/>
      <c r="F33" s="634"/>
      <c r="G33" s="511"/>
      <c r="H33" s="138">
        <v>0</v>
      </c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54"/>
      <c r="AB33" s="554"/>
      <c r="AC33" s="554"/>
      <c r="AD33" s="554"/>
      <c r="AE33" s="554"/>
      <c r="AF33" s="554"/>
      <c r="AG33" s="554"/>
      <c r="AH33" s="554"/>
      <c r="AI33" s="554"/>
      <c r="AJ33" s="554"/>
      <c r="AK33" s="554"/>
      <c r="AL33" s="554"/>
      <c r="AM33" s="554"/>
      <c r="AN33" s="554"/>
      <c r="AO33" s="554"/>
      <c r="AP33" s="554"/>
      <c r="AQ33" s="554"/>
      <c r="AR33" s="554"/>
      <c r="AS33" s="554"/>
      <c r="AT33" s="554"/>
      <c r="AU33" s="554"/>
      <c r="AV33" s="554"/>
      <c r="AW33" s="554"/>
      <c r="AX33" s="554"/>
      <c r="AY33" s="554"/>
      <c r="AZ33" s="554"/>
      <c r="BA33" s="554"/>
      <c r="BB33" s="554"/>
      <c r="BC33" s="554"/>
      <c r="BD33" s="554"/>
      <c r="BE33" s="554"/>
      <c r="BF33" s="554"/>
      <c r="BG33" s="554"/>
      <c r="BH33" s="554"/>
      <c r="BI33" s="554"/>
      <c r="BJ33" s="554"/>
      <c r="BK33" s="554"/>
      <c r="BL33" s="554"/>
      <c r="BM33" s="554"/>
      <c r="BN33" s="554"/>
      <c r="BO33" s="554"/>
      <c r="BP33" s="554"/>
      <c r="BQ33" s="554"/>
      <c r="BR33" s="554"/>
      <c r="BS33" s="554"/>
      <c r="BT33" s="554"/>
      <c r="BU33" s="554"/>
      <c r="BV33" s="554"/>
      <c r="BW33" s="554"/>
      <c r="BX33" s="554"/>
      <c r="BY33" s="554"/>
      <c r="BZ33" s="554"/>
      <c r="CA33" s="554"/>
      <c r="CB33" s="554"/>
      <c r="CC33" s="554"/>
      <c r="CD33" s="554"/>
      <c r="CE33" s="554"/>
      <c r="CF33" s="554"/>
      <c r="CG33" s="554"/>
      <c r="CH33" s="554"/>
      <c r="CI33" s="554"/>
      <c r="CJ33" s="554"/>
      <c r="CK33" s="554"/>
      <c r="CL33" s="554"/>
      <c r="CM33" s="554"/>
      <c r="CN33" s="554"/>
      <c r="CO33" s="554"/>
      <c r="CP33" s="554"/>
      <c r="CQ33" s="554"/>
      <c r="CR33" s="554"/>
      <c r="CS33" s="554"/>
      <c r="CT33" s="554"/>
      <c r="CU33" s="554"/>
      <c r="CV33" s="554"/>
      <c r="CW33" s="554"/>
      <c r="CX33" s="554"/>
      <c r="CY33" s="554"/>
      <c r="CZ33" s="554"/>
      <c r="DA33" s="121"/>
      <c r="DB33" s="121"/>
      <c r="DC33" s="121"/>
      <c r="DD33" s="121"/>
    </row>
    <row r="34" spans="1:112">
      <c r="A34" s="263">
        <v>4</v>
      </c>
      <c r="B34" s="509" t="s">
        <v>761</v>
      </c>
      <c r="C34" s="138">
        <v>0</v>
      </c>
      <c r="D34" s="138">
        <f t="shared" si="18"/>
        <v>0</v>
      </c>
      <c r="E34" s="511"/>
      <c r="F34" s="634"/>
      <c r="G34" s="511"/>
      <c r="H34" s="138">
        <v>0</v>
      </c>
      <c r="I34" s="554"/>
      <c r="J34" s="554"/>
      <c r="K34" s="554"/>
      <c r="L34" s="554"/>
      <c r="M34" s="554"/>
      <c r="N34" s="554"/>
      <c r="O34" s="554"/>
      <c r="P34" s="554"/>
      <c r="Q34" s="554"/>
      <c r="R34" s="554"/>
      <c r="S34" s="554"/>
      <c r="T34" s="554"/>
      <c r="U34" s="554"/>
      <c r="V34" s="554"/>
      <c r="W34" s="554"/>
      <c r="X34" s="554"/>
      <c r="Y34" s="554"/>
      <c r="Z34" s="554"/>
      <c r="AA34" s="554"/>
      <c r="AB34" s="554"/>
      <c r="AC34" s="554"/>
      <c r="AD34" s="554"/>
      <c r="AE34" s="554"/>
      <c r="AF34" s="554"/>
      <c r="AG34" s="554"/>
      <c r="AH34" s="554"/>
      <c r="AI34" s="554"/>
      <c r="AJ34" s="554"/>
      <c r="AK34" s="554"/>
      <c r="AL34" s="554"/>
      <c r="AM34" s="554"/>
      <c r="AN34" s="554"/>
      <c r="AO34" s="554"/>
      <c r="AP34" s="554"/>
      <c r="AQ34" s="554"/>
      <c r="AR34" s="554"/>
      <c r="AS34" s="554"/>
      <c r="AT34" s="554"/>
      <c r="AU34" s="554"/>
      <c r="AV34" s="554"/>
      <c r="AW34" s="554"/>
      <c r="AX34" s="554"/>
      <c r="AY34" s="554"/>
      <c r="AZ34" s="554"/>
      <c r="BA34" s="554"/>
      <c r="BB34" s="554"/>
      <c r="BC34" s="554"/>
      <c r="BD34" s="554"/>
      <c r="BE34" s="554"/>
      <c r="BF34" s="554"/>
      <c r="BG34" s="554"/>
      <c r="BH34" s="554"/>
      <c r="BI34" s="554"/>
      <c r="BJ34" s="554"/>
      <c r="BK34" s="554"/>
      <c r="BL34" s="554"/>
      <c r="BM34" s="554"/>
      <c r="BN34" s="554"/>
      <c r="BO34" s="554"/>
      <c r="BP34" s="554"/>
      <c r="BQ34" s="554"/>
      <c r="BR34" s="554"/>
      <c r="BS34" s="554"/>
      <c r="BT34" s="554"/>
      <c r="BU34" s="554"/>
      <c r="BV34" s="554"/>
      <c r="BW34" s="554"/>
      <c r="BX34" s="554"/>
      <c r="BY34" s="554"/>
      <c r="BZ34" s="554"/>
      <c r="CA34" s="554"/>
      <c r="CB34" s="554"/>
      <c r="CC34" s="554"/>
      <c r="CD34" s="554"/>
      <c r="CE34" s="554"/>
      <c r="CF34" s="554"/>
      <c r="CG34" s="554"/>
      <c r="CH34" s="554"/>
      <c r="CI34" s="554"/>
      <c r="CJ34" s="554"/>
      <c r="CK34" s="554"/>
      <c r="CL34" s="554"/>
      <c r="CM34" s="554"/>
      <c r="CN34" s="554"/>
      <c r="CO34" s="554"/>
      <c r="CP34" s="554"/>
      <c r="CQ34" s="554"/>
      <c r="CR34" s="554"/>
      <c r="CS34" s="554"/>
      <c r="CT34" s="554"/>
      <c r="CU34" s="554"/>
      <c r="CV34" s="554"/>
      <c r="CW34" s="554"/>
      <c r="CX34" s="554"/>
      <c r="CY34" s="554"/>
      <c r="CZ34" s="554"/>
      <c r="DA34" s="121"/>
      <c r="DB34" s="121"/>
      <c r="DC34" s="121"/>
      <c r="DD34" s="121"/>
    </row>
    <row r="35" spans="1:112">
      <c r="A35" s="263">
        <v>5</v>
      </c>
      <c r="B35" s="509" t="s">
        <v>764</v>
      </c>
      <c r="C35" s="138">
        <v>177.22</v>
      </c>
      <c r="D35" s="138">
        <f t="shared" si="18"/>
        <v>177.22</v>
      </c>
      <c r="E35" s="511"/>
      <c r="F35" s="634"/>
      <c r="G35" s="511"/>
      <c r="H35" s="138">
        <v>0</v>
      </c>
      <c r="I35" s="554"/>
      <c r="J35" s="554"/>
      <c r="K35" s="554"/>
      <c r="L35" s="554"/>
      <c r="M35" s="554"/>
      <c r="N35" s="554"/>
      <c r="O35" s="554"/>
      <c r="P35" s="554"/>
      <c r="Q35" s="554"/>
      <c r="R35" s="554"/>
      <c r="S35" s="554"/>
      <c r="T35" s="554"/>
      <c r="U35" s="554"/>
      <c r="V35" s="554"/>
      <c r="W35" s="554"/>
      <c r="X35" s="554"/>
      <c r="Y35" s="554"/>
      <c r="Z35" s="554"/>
      <c r="AA35" s="554"/>
      <c r="AB35" s="554"/>
      <c r="AC35" s="554"/>
      <c r="AD35" s="554"/>
      <c r="AE35" s="554"/>
      <c r="AF35" s="554"/>
      <c r="AG35" s="554"/>
      <c r="AH35" s="554"/>
      <c r="AI35" s="554"/>
      <c r="AJ35" s="554"/>
      <c r="AK35" s="554"/>
      <c r="AL35" s="554"/>
      <c r="AM35" s="554"/>
      <c r="AN35" s="554"/>
      <c r="AO35" s="554"/>
      <c r="AP35" s="554"/>
      <c r="AQ35" s="554"/>
      <c r="AR35" s="554"/>
      <c r="AS35" s="554"/>
      <c r="AT35" s="554"/>
      <c r="AU35" s="554"/>
      <c r="AV35" s="554"/>
      <c r="AW35" s="554"/>
      <c r="AX35" s="554"/>
      <c r="AY35" s="554"/>
      <c r="AZ35" s="554"/>
      <c r="BA35" s="554"/>
      <c r="BB35" s="554"/>
      <c r="BC35" s="554"/>
      <c r="BD35" s="554"/>
      <c r="BE35" s="554"/>
      <c r="BF35" s="554"/>
      <c r="BG35" s="554"/>
      <c r="BH35" s="554"/>
      <c r="BI35" s="554"/>
      <c r="BJ35" s="554"/>
      <c r="BK35" s="554"/>
      <c r="BL35" s="554"/>
      <c r="BM35" s="554"/>
      <c r="BN35" s="554"/>
      <c r="BO35" s="554"/>
      <c r="BP35" s="554"/>
      <c r="BQ35" s="554">
        <v>0.1</v>
      </c>
      <c r="BR35" s="554"/>
      <c r="BS35" s="554"/>
      <c r="BT35" s="554"/>
      <c r="BU35" s="554"/>
      <c r="BV35" s="554"/>
      <c r="BW35" s="554"/>
      <c r="BX35" s="554"/>
      <c r="BY35" s="554"/>
      <c r="BZ35" s="554"/>
      <c r="CA35" s="554"/>
      <c r="CB35" s="554"/>
      <c r="CC35" s="554"/>
      <c r="CD35" s="554"/>
      <c r="CE35" s="554"/>
      <c r="CF35" s="554"/>
      <c r="CG35" s="554"/>
      <c r="CH35" s="554"/>
      <c r="CI35" s="554"/>
      <c r="CJ35" s="554"/>
      <c r="CK35" s="554"/>
      <c r="CL35" s="554"/>
      <c r="CM35" s="554"/>
      <c r="CN35" s="554"/>
      <c r="CO35" s="554">
        <v>0.08</v>
      </c>
      <c r="CP35" s="554"/>
      <c r="CQ35" s="554"/>
      <c r="CR35" s="554"/>
      <c r="CS35" s="554"/>
      <c r="CT35" s="554"/>
      <c r="CU35" s="554"/>
      <c r="CV35" s="554"/>
      <c r="CW35" s="554"/>
      <c r="CX35" s="554"/>
      <c r="CY35" s="554"/>
      <c r="CZ35" s="554"/>
      <c r="DA35" s="121"/>
      <c r="DB35" s="121"/>
      <c r="DC35" s="121"/>
      <c r="DD35" s="121"/>
    </row>
    <row r="36" spans="1:112">
      <c r="A36" s="263">
        <v>6</v>
      </c>
      <c r="B36" s="509" t="s">
        <v>762</v>
      </c>
      <c r="C36" s="138">
        <v>367.55</v>
      </c>
      <c r="D36" s="138">
        <f t="shared" si="18"/>
        <v>367.55</v>
      </c>
      <c r="E36" s="511"/>
      <c r="F36" s="634"/>
      <c r="G36" s="511"/>
      <c r="H36" s="138">
        <v>0</v>
      </c>
      <c r="I36" s="554"/>
      <c r="J36" s="554"/>
      <c r="K36" s="554"/>
      <c r="L36" s="554"/>
      <c r="M36" s="554"/>
      <c r="N36" s="554"/>
      <c r="O36" s="554"/>
      <c r="P36" s="554"/>
      <c r="Q36" s="554"/>
      <c r="R36" s="554"/>
      <c r="S36" s="554"/>
      <c r="T36" s="554"/>
      <c r="U36" s="554"/>
      <c r="V36" s="554"/>
      <c r="W36" s="554"/>
      <c r="X36" s="554"/>
      <c r="Y36" s="554"/>
      <c r="Z36" s="554"/>
      <c r="AA36" s="554"/>
      <c r="AB36" s="554"/>
      <c r="AC36" s="554"/>
      <c r="AD36" s="554"/>
      <c r="AE36" s="554"/>
      <c r="AF36" s="554"/>
      <c r="AG36" s="554"/>
      <c r="AH36" s="554"/>
      <c r="AI36" s="554"/>
      <c r="AJ36" s="554"/>
      <c r="AK36" s="554"/>
      <c r="AL36" s="554"/>
      <c r="AM36" s="554"/>
      <c r="AN36" s="554"/>
      <c r="AO36" s="554"/>
      <c r="AP36" s="554"/>
      <c r="AQ36" s="554"/>
      <c r="AR36" s="554"/>
      <c r="AS36" s="554"/>
      <c r="AT36" s="554"/>
      <c r="AU36" s="554"/>
      <c r="AV36" s="554"/>
      <c r="AW36" s="554"/>
      <c r="AX36" s="554"/>
      <c r="AY36" s="554"/>
      <c r="AZ36" s="554"/>
      <c r="BA36" s="554"/>
      <c r="BB36" s="554"/>
      <c r="BC36" s="554"/>
      <c r="BD36" s="554"/>
      <c r="BE36" s="554"/>
      <c r="BF36" s="554"/>
      <c r="BG36" s="554"/>
      <c r="BH36" s="554"/>
      <c r="BI36" s="554"/>
      <c r="BJ36" s="554"/>
      <c r="BK36" s="554"/>
      <c r="BL36" s="554"/>
      <c r="BM36" s="554"/>
      <c r="BN36" s="554"/>
      <c r="BO36" s="554"/>
      <c r="BP36" s="554"/>
      <c r="BQ36" s="554"/>
      <c r="BR36" s="554"/>
      <c r="BS36" s="554"/>
      <c r="BT36" s="554"/>
      <c r="BU36" s="554"/>
      <c r="BV36" s="554"/>
      <c r="BW36" s="554"/>
      <c r="BX36" s="554"/>
      <c r="BY36" s="554"/>
      <c r="BZ36" s="554"/>
      <c r="CA36" s="554"/>
      <c r="CB36" s="554"/>
      <c r="CC36" s="554"/>
      <c r="CD36" s="554"/>
      <c r="CE36" s="554"/>
      <c r="CF36" s="554"/>
      <c r="CG36" s="554"/>
      <c r="CH36" s="554"/>
      <c r="CI36" s="554"/>
      <c r="CJ36" s="554"/>
      <c r="CK36" s="554"/>
      <c r="CL36" s="554"/>
      <c r="CM36" s="554"/>
      <c r="CN36" s="554"/>
      <c r="CO36" s="554"/>
      <c r="CP36" s="554"/>
      <c r="CQ36" s="554"/>
      <c r="CR36" s="554"/>
      <c r="CS36" s="554"/>
      <c r="CT36" s="554"/>
      <c r="CU36" s="554"/>
      <c r="CV36" s="554"/>
      <c r="CW36" s="554"/>
      <c r="CX36" s="554"/>
      <c r="CY36" s="554"/>
      <c r="CZ36" s="554"/>
      <c r="DA36" s="121"/>
      <c r="DB36" s="121"/>
      <c r="DC36" s="121"/>
      <c r="DD36" s="121"/>
    </row>
    <row r="37" spans="1:112">
      <c r="A37" s="263"/>
      <c r="B37" s="339" t="s">
        <v>469</v>
      </c>
      <c r="C37" s="138"/>
      <c r="D37" s="138"/>
      <c r="E37" s="511"/>
      <c r="F37" s="634"/>
      <c r="G37" s="511"/>
      <c r="H37" s="138"/>
      <c r="I37" s="554"/>
      <c r="J37" s="554"/>
      <c r="K37" s="554"/>
      <c r="L37" s="554"/>
      <c r="M37" s="554"/>
      <c r="N37" s="554"/>
      <c r="O37" s="554"/>
      <c r="P37" s="554"/>
      <c r="Q37" s="554"/>
      <c r="R37" s="554"/>
      <c r="S37" s="554"/>
      <c r="T37" s="554"/>
      <c r="U37" s="554"/>
      <c r="V37" s="554"/>
      <c r="W37" s="554"/>
      <c r="X37" s="554"/>
      <c r="Y37" s="554"/>
      <c r="Z37" s="554"/>
      <c r="AA37" s="554"/>
      <c r="AB37" s="554"/>
      <c r="AC37" s="554"/>
      <c r="AD37" s="554"/>
      <c r="AE37" s="554"/>
      <c r="AF37" s="554"/>
      <c r="AG37" s="554"/>
      <c r="AH37" s="554"/>
      <c r="AI37" s="554"/>
      <c r="AJ37" s="554"/>
      <c r="AK37" s="554"/>
      <c r="AL37" s="554"/>
      <c r="AM37" s="554"/>
      <c r="AN37" s="554"/>
      <c r="AO37" s="554"/>
      <c r="AP37" s="554"/>
      <c r="AQ37" s="554"/>
      <c r="AR37" s="554"/>
      <c r="AS37" s="554"/>
      <c r="AT37" s="554"/>
      <c r="AU37" s="554"/>
      <c r="AV37" s="554"/>
      <c r="AW37" s="554"/>
      <c r="AX37" s="554"/>
      <c r="AY37" s="554"/>
      <c r="AZ37" s="554"/>
      <c r="BA37" s="554"/>
      <c r="BB37" s="554"/>
      <c r="BC37" s="554"/>
      <c r="BD37" s="554"/>
      <c r="BE37" s="554"/>
      <c r="BF37" s="554"/>
      <c r="BG37" s="554"/>
      <c r="BH37" s="554"/>
      <c r="BI37" s="554"/>
      <c r="BJ37" s="554"/>
      <c r="BK37" s="554"/>
      <c r="BL37" s="554"/>
      <c r="BM37" s="554"/>
      <c r="BN37" s="554"/>
      <c r="BO37" s="554"/>
      <c r="BP37" s="554"/>
      <c r="BQ37" s="554"/>
      <c r="BR37" s="554"/>
      <c r="BS37" s="554"/>
      <c r="BT37" s="554"/>
      <c r="BU37" s="554"/>
      <c r="BV37" s="554"/>
      <c r="BW37" s="554"/>
      <c r="BX37" s="554"/>
      <c r="BY37" s="554"/>
      <c r="BZ37" s="554"/>
      <c r="CA37" s="554"/>
      <c r="CB37" s="554"/>
      <c r="CC37" s="554"/>
      <c r="CD37" s="554"/>
      <c r="CE37" s="554"/>
      <c r="CF37" s="554"/>
      <c r="CG37" s="554"/>
      <c r="CH37" s="554"/>
      <c r="CI37" s="554"/>
      <c r="CJ37" s="554"/>
      <c r="CK37" s="554"/>
      <c r="CL37" s="554"/>
      <c r="CM37" s="554"/>
      <c r="CN37" s="554"/>
      <c r="CO37" s="554"/>
      <c r="CP37" s="554"/>
      <c r="CQ37" s="554"/>
      <c r="CR37" s="554"/>
      <c r="CS37" s="554"/>
      <c r="CT37" s="554"/>
      <c r="CU37" s="554"/>
      <c r="CV37" s="554"/>
      <c r="CW37" s="554"/>
      <c r="CX37" s="554"/>
      <c r="CY37" s="554"/>
      <c r="CZ37" s="554"/>
      <c r="DA37" s="121"/>
      <c r="DB37" s="121"/>
      <c r="DC37" s="121"/>
      <c r="DD37" s="121"/>
    </row>
    <row r="38" spans="1:112" s="605" customFormat="1">
      <c r="A38" s="599"/>
      <c r="B38" s="608" t="s">
        <v>475</v>
      </c>
      <c r="C38" s="601">
        <f>SUM(C31:C37)</f>
        <v>3503.8900000000003</v>
      </c>
      <c r="D38" s="601">
        <f>SUM(D31:D37)</f>
        <v>3503.8900000000003</v>
      </c>
      <c r="E38" s="601"/>
      <c r="F38" s="633"/>
      <c r="G38" s="633"/>
      <c r="H38" s="601">
        <f>SUM(H31:H37)</f>
        <v>145.25</v>
      </c>
      <c r="I38" s="591"/>
      <c r="J38" s="591"/>
      <c r="K38" s="591"/>
      <c r="L38" s="591"/>
      <c r="M38" s="591">
        <v>0</v>
      </c>
      <c r="N38" s="591">
        <f>SUM(N31:N37)</f>
        <v>0</v>
      </c>
      <c r="O38" s="622"/>
      <c r="P38" s="622"/>
      <c r="Q38" s="591"/>
      <c r="R38" s="591"/>
      <c r="S38" s="591"/>
      <c r="T38" s="591"/>
      <c r="U38" s="591">
        <v>0</v>
      </c>
      <c r="V38" s="591">
        <f>SUM(V31:V37)</f>
        <v>0</v>
      </c>
      <c r="W38" s="622"/>
      <c r="X38" s="622"/>
      <c r="Y38" s="591"/>
      <c r="Z38" s="591"/>
      <c r="AA38" s="591"/>
      <c r="AB38" s="591"/>
      <c r="AC38" s="591">
        <v>0.3</v>
      </c>
      <c r="AD38" s="591">
        <f>SUM(AD31:AD37)</f>
        <v>0.3</v>
      </c>
      <c r="AE38" s="622"/>
      <c r="AF38" s="622"/>
      <c r="AG38" s="591"/>
      <c r="AH38" s="591"/>
      <c r="AI38" s="591"/>
      <c r="AJ38" s="591"/>
      <c r="AK38" s="591">
        <v>0</v>
      </c>
      <c r="AL38" s="591">
        <f>SUM(AL31:AL37)</f>
        <v>0</v>
      </c>
      <c r="AM38" s="622"/>
      <c r="AN38" s="622"/>
      <c r="AO38" s="591"/>
      <c r="AP38" s="591"/>
      <c r="AQ38" s="591"/>
      <c r="AR38" s="591"/>
      <c r="AS38" s="591">
        <v>0.16</v>
      </c>
      <c r="AT38" s="591">
        <f>SUM(AT31:AT37)</f>
        <v>0.16</v>
      </c>
      <c r="AU38" s="622"/>
      <c r="AV38" s="622"/>
      <c r="AW38" s="591"/>
      <c r="AX38" s="591"/>
      <c r="AY38" s="591"/>
      <c r="AZ38" s="591"/>
      <c r="BA38" s="591">
        <v>0.2</v>
      </c>
      <c r="BB38" s="591">
        <f>SUM(BB31:BB37)</f>
        <v>0.2</v>
      </c>
      <c r="BC38" s="622"/>
      <c r="BD38" s="622"/>
      <c r="BE38" s="591"/>
      <c r="BF38" s="591"/>
      <c r="BG38" s="591"/>
      <c r="BH38" s="591"/>
      <c r="BI38" s="591">
        <v>0</v>
      </c>
      <c r="BJ38" s="591">
        <f>SUM(BJ31:BJ37)</f>
        <v>0</v>
      </c>
      <c r="BK38" s="622"/>
      <c r="BL38" s="622"/>
      <c r="BM38" s="591"/>
      <c r="BN38" s="591"/>
      <c r="BO38" s="591"/>
      <c r="BP38" s="591"/>
      <c r="BQ38" s="591">
        <f>SUM(BQ31:BQ37)</f>
        <v>0.1</v>
      </c>
      <c r="BR38" s="591">
        <f>SUM(BR31:BR37)</f>
        <v>0.65</v>
      </c>
      <c r="BS38" s="622"/>
      <c r="BT38" s="622"/>
      <c r="BU38" s="591"/>
      <c r="BV38" s="591"/>
      <c r="BW38" s="591"/>
      <c r="BX38" s="591"/>
      <c r="BY38" s="591">
        <f>SUM(BY31:BY37)</f>
        <v>50</v>
      </c>
      <c r="BZ38" s="591">
        <f>SUM(BZ31:BZ37)</f>
        <v>0</v>
      </c>
      <c r="CA38" s="622"/>
      <c r="CB38" s="622"/>
      <c r="CC38" s="591"/>
      <c r="CD38" s="591"/>
      <c r="CE38" s="591"/>
      <c r="CF38" s="591"/>
      <c r="CG38" s="591">
        <f>SUM(CG31:CG37)</f>
        <v>30</v>
      </c>
      <c r="CH38" s="591">
        <f>SUM(CH31:CH37)</f>
        <v>48.26</v>
      </c>
      <c r="CI38" s="622"/>
      <c r="CJ38" s="622"/>
      <c r="CK38" s="591"/>
      <c r="CL38" s="591"/>
      <c r="CM38" s="591"/>
      <c r="CN38" s="591"/>
      <c r="CO38" s="591">
        <f>SUM(CO31:CO37)</f>
        <v>19.68</v>
      </c>
      <c r="CP38" s="591">
        <f>SUM(CP31:CP37)</f>
        <v>0</v>
      </c>
      <c r="CQ38" s="622"/>
      <c r="CR38" s="622"/>
      <c r="CS38" s="591"/>
      <c r="CT38" s="591"/>
      <c r="CU38" s="591"/>
      <c r="CV38" s="591"/>
      <c r="CW38" s="591">
        <f>SUM(CW31:CW37)</f>
        <v>0</v>
      </c>
      <c r="CX38" s="591">
        <f>SUM(CX31:CX37)</f>
        <v>0</v>
      </c>
      <c r="CY38" s="622"/>
      <c r="CZ38" s="622"/>
      <c r="DA38" s="602"/>
      <c r="DB38" s="602"/>
      <c r="DC38" s="602"/>
      <c r="DD38" s="602"/>
      <c r="DE38" s="121">
        <f>M38+U38+AC38+AK38+AS38+BA38+BI38+BQ38+BY38+CG38+CO38+CW38</f>
        <v>100.44</v>
      </c>
      <c r="DH38" s="661"/>
    </row>
    <row r="39" spans="1:112">
      <c r="A39" s="499"/>
      <c r="B39" s="197"/>
      <c r="C39" s="553"/>
      <c r="D39" s="553"/>
      <c r="E39" s="553"/>
      <c r="F39" s="631"/>
      <c r="G39" s="553"/>
      <c r="H39" s="553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54"/>
      <c r="AB39" s="554"/>
      <c r="AC39" s="554"/>
      <c r="AD39" s="554"/>
      <c r="AE39" s="554"/>
      <c r="AF39" s="554"/>
      <c r="AG39" s="554"/>
      <c r="AH39" s="554"/>
      <c r="AI39" s="554"/>
      <c r="AJ39" s="554"/>
      <c r="AK39" s="554"/>
      <c r="AL39" s="554"/>
      <c r="AM39" s="554"/>
      <c r="AN39" s="554"/>
      <c r="AO39" s="554"/>
      <c r="AP39" s="554"/>
      <c r="AQ39" s="554"/>
      <c r="AR39" s="554"/>
      <c r="AS39" s="554"/>
      <c r="AT39" s="554"/>
      <c r="AU39" s="554"/>
      <c r="AV39" s="554"/>
      <c r="AW39" s="554"/>
      <c r="AX39" s="554"/>
      <c r="AY39" s="554"/>
      <c r="AZ39" s="554"/>
      <c r="BA39" s="554"/>
      <c r="BB39" s="554"/>
      <c r="BC39" s="554"/>
      <c r="BD39" s="554"/>
      <c r="BE39" s="554"/>
      <c r="BF39" s="554"/>
      <c r="BG39" s="554"/>
      <c r="BH39" s="554"/>
      <c r="BI39" s="554"/>
      <c r="BJ39" s="554"/>
      <c r="BK39" s="554"/>
      <c r="BL39" s="554"/>
      <c r="BM39" s="554"/>
      <c r="BN39" s="554"/>
      <c r="BO39" s="554"/>
      <c r="BP39" s="554"/>
      <c r="BQ39" s="554"/>
      <c r="BR39" s="554"/>
      <c r="BS39" s="554"/>
      <c r="BT39" s="554"/>
      <c r="BU39" s="554"/>
      <c r="BV39" s="554"/>
      <c r="BW39" s="554"/>
      <c r="BX39" s="554"/>
      <c r="BY39" s="554"/>
      <c r="BZ39" s="554"/>
      <c r="CA39" s="554"/>
      <c r="CB39" s="554"/>
      <c r="CC39" s="554"/>
      <c r="CD39" s="554"/>
      <c r="CE39" s="554"/>
      <c r="CF39" s="554"/>
      <c r="CG39" s="554"/>
      <c r="CH39" s="554"/>
      <c r="CI39" s="554"/>
      <c r="CJ39" s="554"/>
      <c r="CK39" s="554"/>
      <c r="CL39" s="554"/>
      <c r="CM39" s="554"/>
      <c r="CN39" s="554"/>
      <c r="CO39" s="554"/>
      <c r="CP39" s="554"/>
      <c r="CQ39" s="554"/>
      <c r="CR39" s="554"/>
      <c r="CS39" s="554"/>
      <c r="CT39" s="554"/>
      <c r="CU39" s="554"/>
      <c r="CV39" s="554"/>
      <c r="CW39" s="554"/>
      <c r="CX39" s="554"/>
      <c r="CY39" s="554"/>
      <c r="CZ39" s="554"/>
      <c r="DA39" s="121"/>
      <c r="DB39" s="121"/>
      <c r="DC39" s="121"/>
      <c r="DD39" s="121"/>
    </row>
    <row r="40" spans="1:112">
      <c r="A40" s="519" t="s">
        <v>689</v>
      </c>
      <c r="B40" s="518" t="s">
        <v>686</v>
      </c>
      <c r="C40" s="553"/>
      <c r="D40" s="553"/>
      <c r="E40" s="553"/>
      <c r="F40" s="631"/>
      <c r="G40" s="553"/>
      <c r="H40" s="553"/>
      <c r="I40" s="554"/>
      <c r="J40" s="554"/>
      <c r="K40" s="554"/>
      <c r="L40" s="554"/>
      <c r="M40" s="554"/>
      <c r="N40" s="554"/>
      <c r="O40" s="554"/>
      <c r="P40" s="554"/>
      <c r="Q40" s="554"/>
      <c r="R40" s="554"/>
      <c r="S40" s="554"/>
      <c r="T40" s="554"/>
      <c r="U40" s="554"/>
      <c r="V40" s="554"/>
      <c r="W40" s="554"/>
      <c r="X40" s="554"/>
      <c r="Y40" s="554"/>
      <c r="Z40" s="554"/>
      <c r="AA40" s="554"/>
      <c r="AB40" s="554"/>
      <c r="AC40" s="554"/>
      <c r="AD40" s="554"/>
      <c r="AE40" s="554"/>
      <c r="AF40" s="554"/>
      <c r="AG40" s="554"/>
      <c r="AH40" s="554"/>
      <c r="AI40" s="554"/>
      <c r="AJ40" s="554"/>
      <c r="AK40" s="554"/>
      <c r="AL40" s="554"/>
      <c r="AM40" s="554"/>
      <c r="AN40" s="554"/>
      <c r="AO40" s="554"/>
      <c r="AP40" s="554"/>
      <c r="AQ40" s="554"/>
      <c r="AR40" s="554"/>
      <c r="AS40" s="554"/>
      <c r="AT40" s="554"/>
      <c r="AU40" s="554"/>
      <c r="AV40" s="554"/>
      <c r="AW40" s="554"/>
      <c r="AX40" s="554"/>
      <c r="AY40" s="554"/>
      <c r="AZ40" s="554"/>
      <c r="BA40" s="554"/>
      <c r="BB40" s="554"/>
      <c r="BC40" s="554"/>
      <c r="BD40" s="554"/>
      <c r="BE40" s="554"/>
      <c r="BF40" s="554"/>
      <c r="BG40" s="554"/>
      <c r="BH40" s="554"/>
      <c r="BI40" s="554"/>
      <c r="BJ40" s="554"/>
      <c r="BK40" s="554"/>
      <c r="BL40" s="554"/>
      <c r="BM40" s="554"/>
      <c r="BN40" s="554"/>
      <c r="BO40" s="554"/>
      <c r="BP40" s="554"/>
      <c r="BQ40" s="554"/>
      <c r="BR40" s="554"/>
      <c r="BS40" s="554"/>
      <c r="BT40" s="554"/>
      <c r="BU40" s="554"/>
      <c r="BV40" s="554"/>
      <c r="BW40" s="554"/>
      <c r="BX40" s="554"/>
      <c r="BY40" s="554"/>
      <c r="BZ40" s="554"/>
      <c r="CA40" s="554"/>
      <c r="CB40" s="554"/>
      <c r="CC40" s="554"/>
      <c r="CD40" s="554"/>
      <c r="CE40" s="554"/>
      <c r="CF40" s="554"/>
      <c r="CG40" s="554"/>
      <c r="CH40" s="554"/>
      <c r="CI40" s="554"/>
      <c r="CJ40" s="554"/>
      <c r="CK40" s="554"/>
      <c r="CL40" s="554"/>
      <c r="CM40" s="554"/>
      <c r="CN40" s="554"/>
      <c r="CO40" s="554"/>
      <c r="CP40" s="554"/>
      <c r="CQ40" s="554"/>
      <c r="CR40" s="554"/>
      <c r="CS40" s="554"/>
      <c r="CT40" s="554"/>
      <c r="CU40" s="554"/>
      <c r="CV40" s="554"/>
      <c r="CW40" s="554"/>
      <c r="CX40" s="554"/>
      <c r="CY40" s="554"/>
      <c r="CZ40" s="554"/>
      <c r="DA40" s="121"/>
      <c r="DB40" s="121"/>
      <c r="DC40" s="121"/>
      <c r="DD40" s="121"/>
    </row>
    <row r="41" spans="1:112">
      <c r="A41" s="499"/>
      <c r="B41" s="517" t="s">
        <v>691</v>
      </c>
      <c r="C41" s="558"/>
      <c r="D41" s="558"/>
      <c r="E41" s="558"/>
      <c r="F41" s="631"/>
      <c r="G41" s="553"/>
      <c r="H41" s="553"/>
      <c r="I41" s="554"/>
      <c r="J41" s="554"/>
      <c r="K41" s="554"/>
      <c r="L41" s="554"/>
      <c r="M41" s="554"/>
      <c r="N41" s="554"/>
      <c r="O41" s="554"/>
      <c r="P41" s="554"/>
      <c r="Q41" s="554"/>
      <c r="R41" s="554"/>
      <c r="S41" s="554"/>
      <c r="T41" s="554"/>
      <c r="U41" s="554"/>
      <c r="V41" s="554"/>
      <c r="W41" s="554"/>
      <c r="X41" s="554"/>
      <c r="Y41" s="554"/>
      <c r="Z41" s="554"/>
      <c r="AA41" s="554"/>
      <c r="AB41" s="554"/>
      <c r="AC41" s="554"/>
      <c r="AD41" s="554"/>
      <c r="AE41" s="554"/>
      <c r="AF41" s="554"/>
      <c r="AG41" s="554"/>
      <c r="AH41" s="554"/>
      <c r="AI41" s="554"/>
      <c r="AJ41" s="554"/>
      <c r="AK41" s="554"/>
      <c r="AL41" s="554"/>
      <c r="AM41" s="554"/>
      <c r="AN41" s="554"/>
      <c r="AO41" s="554"/>
      <c r="AP41" s="554"/>
      <c r="AQ41" s="554"/>
      <c r="AR41" s="554"/>
      <c r="AS41" s="554"/>
      <c r="AT41" s="554"/>
      <c r="AU41" s="554"/>
      <c r="AV41" s="554"/>
      <c r="AW41" s="554"/>
      <c r="AX41" s="554"/>
      <c r="AY41" s="554"/>
      <c r="AZ41" s="554"/>
      <c r="BA41" s="554"/>
      <c r="BB41" s="554"/>
      <c r="BC41" s="554"/>
      <c r="BD41" s="554"/>
      <c r="BE41" s="554"/>
      <c r="BF41" s="554"/>
      <c r="BG41" s="554"/>
      <c r="BH41" s="554"/>
      <c r="BI41" s="554"/>
      <c r="BJ41" s="554"/>
      <c r="BK41" s="554"/>
      <c r="BL41" s="554"/>
      <c r="BM41" s="554"/>
      <c r="BN41" s="554"/>
      <c r="BO41" s="554"/>
      <c r="BP41" s="554"/>
      <c r="BQ41" s="554"/>
      <c r="BR41" s="554"/>
      <c r="BS41" s="554"/>
      <c r="BT41" s="554"/>
      <c r="BU41" s="554"/>
      <c r="BV41" s="554"/>
      <c r="BW41" s="554"/>
      <c r="BX41" s="554"/>
      <c r="BY41" s="554"/>
      <c r="BZ41" s="554"/>
      <c r="CA41" s="554"/>
      <c r="CB41" s="554"/>
      <c r="CC41" s="554"/>
      <c r="CD41" s="554"/>
      <c r="CE41" s="554"/>
      <c r="CF41" s="554"/>
      <c r="CG41" s="554"/>
      <c r="CH41" s="554"/>
      <c r="CI41" s="554"/>
      <c r="CJ41" s="554"/>
      <c r="CK41" s="554"/>
      <c r="CL41" s="554"/>
      <c r="CM41" s="554"/>
      <c r="CN41" s="554"/>
      <c r="CO41" s="554"/>
      <c r="CP41" s="554"/>
      <c r="CQ41" s="554"/>
      <c r="CR41" s="554"/>
      <c r="CS41" s="554"/>
      <c r="CT41" s="554"/>
      <c r="CU41" s="554"/>
      <c r="CV41" s="554"/>
      <c r="CW41" s="554"/>
      <c r="CX41" s="554"/>
      <c r="CY41" s="554"/>
      <c r="CZ41" s="554"/>
      <c r="DA41" s="121"/>
      <c r="DB41" s="121"/>
      <c r="DC41" s="121"/>
      <c r="DD41" s="121"/>
    </row>
    <row r="42" spans="1:112">
      <c r="A42" s="499"/>
      <c r="B42" s="190"/>
      <c r="C42" s="138"/>
      <c r="D42" s="138"/>
      <c r="E42" s="138"/>
      <c r="F42" s="632"/>
      <c r="G42" s="138"/>
      <c r="H42" s="138"/>
      <c r="I42" s="554"/>
      <c r="J42" s="554"/>
      <c r="K42" s="554"/>
      <c r="L42" s="554"/>
      <c r="M42" s="554"/>
      <c r="N42" s="554"/>
      <c r="O42" s="554"/>
      <c r="P42" s="554"/>
      <c r="Q42" s="554"/>
      <c r="R42" s="554"/>
      <c r="S42" s="554"/>
      <c r="T42" s="554"/>
      <c r="U42" s="554"/>
      <c r="V42" s="554"/>
      <c r="W42" s="554"/>
      <c r="X42" s="554"/>
      <c r="Y42" s="554"/>
      <c r="Z42" s="554"/>
      <c r="AA42" s="554"/>
      <c r="AB42" s="554"/>
      <c r="AC42" s="554"/>
      <c r="AD42" s="554"/>
      <c r="AE42" s="554"/>
      <c r="AF42" s="554"/>
      <c r="AG42" s="554"/>
      <c r="AH42" s="554"/>
      <c r="AI42" s="554"/>
      <c r="AJ42" s="554"/>
      <c r="AK42" s="554"/>
      <c r="AL42" s="554"/>
      <c r="AM42" s="554"/>
      <c r="AN42" s="554"/>
      <c r="AO42" s="554"/>
      <c r="AP42" s="554"/>
      <c r="AQ42" s="554"/>
      <c r="AR42" s="554"/>
      <c r="AS42" s="554"/>
      <c r="AT42" s="554"/>
      <c r="AU42" s="554"/>
      <c r="AV42" s="554"/>
      <c r="AW42" s="554"/>
      <c r="AX42" s="554"/>
      <c r="AY42" s="554"/>
      <c r="AZ42" s="554"/>
      <c r="BA42" s="554"/>
      <c r="BB42" s="554"/>
      <c r="BC42" s="554"/>
      <c r="BD42" s="554"/>
      <c r="BE42" s="554"/>
      <c r="BF42" s="554"/>
      <c r="BG42" s="554"/>
      <c r="BH42" s="554"/>
      <c r="BI42" s="554"/>
      <c r="BJ42" s="554"/>
      <c r="BK42" s="554"/>
      <c r="BL42" s="554"/>
      <c r="BM42" s="554"/>
      <c r="BN42" s="554"/>
      <c r="BO42" s="554"/>
      <c r="BP42" s="554"/>
      <c r="BQ42" s="554"/>
      <c r="BR42" s="554"/>
      <c r="BS42" s="554"/>
      <c r="BT42" s="554"/>
      <c r="BU42" s="554"/>
      <c r="BV42" s="554"/>
      <c r="BW42" s="554"/>
      <c r="BX42" s="554"/>
      <c r="BY42" s="554"/>
      <c r="BZ42" s="554"/>
      <c r="CA42" s="554"/>
      <c r="CB42" s="554"/>
      <c r="CC42" s="554"/>
      <c r="CD42" s="554"/>
      <c r="CE42" s="554"/>
      <c r="CF42" s="554"/>
      <c r="CG42" s="554"/>
      <c r="CH42" s="554"/>
      <c r="CI42" s="554"/>
      <c r="CJ42" s="554"/>
      <c r="CK42" s="554"/>
      <c r="CL42" s="554"/>
      <c r="CM42" s="554"/>
      <c r="CN42" s="554"/>
      <c r="CO42" s="554"/>
      <c r="CP42" s="554"/>
      <c r="CQ42" s="554"/>
      <c r="CR42" s="554"/>
      <c r="CS42" s="554"/>
      <c r="CT42" s="554"/>
      <c r="CU42" s="554"/>
      <c r="CV42" s="554"/>
      <c r="CW42" s="554"/>
      <c r="CX42" s="554"/>
      <c r="CY42" s="554"/>
      <c r="CZ42" s="554"/>
      <c r="DA42" s="121"/>
      <c r="DB42" s="121"/>
      <c r="DC42" s="121"/>
      <c r="DD42" s="121"/>
    </row>
    <row r="43" spans="1:112">
      <c r="A43" s="508" t="s">
        <v>476</v>
      </c>
      <c r="B43" s="497" t="s">
        <v>55</v>
      </c>
      <c r="C43" s="138"/>
      <c r="D43" s="138"/>
      <c r="E43" s="138"/>
      <c r="F43" s="632"/>
      <c r="G43" s="138"/>
      <c r="H43" s="138"/>
      <c r="I43" s="554"/>
      <c r="J43" s="554"/>
      <c r="K43" s="554"/>
      <c r="L43" s="554"/>
      <c r="M43" s="554"/>
      <c r="N43" s="554"/>
      <c r="O43" s="554"/>
      <c r="P43" s="554"/>
      <c r="Q43" s="554"/>
      <c r="R43" s="554"/>
      <c r="S43" s="554"/>
      <c r="T43" s="554"/>
      <c r="U43" s="554"/>
      <c r="V43" s="554"/>
      <c r="W43" s="554"/>
      <c r="X43" s="554"/>
      <c r="Y43" s="554"/>
      <c r="Z43" s="554"/>
      <c r="AA43" s="554"/>
      <c r="AB43" s="554"/>
      <c r="AC43" s="554"/>
      <c r="AD43" s="554"/>
      <c r="AE43" s="554"/>
      <c r="AF43" s="554"/>
      <c r="AG43" s="554"/>
      <c r="AH43" s="554"/>
      <c r="AI43" s="554"/>
      <c r="AJ43" s="554"/>
      <c r="AK43" s="554"/>
      <c r="AL43" s="554"/>
      <c r="AM43" s="554"/>
      <c r="AN43" s="554"/>
      <c r="AO43" s="554"/>
      <c r="AP43" s="554"/>
      <c r="AQ43" s="554"/>
      <c r="AR43" s="554"/>
      <c r="AS43" s="554"/>
      <c r="AT43" s="554"/>
      <c r="AU43" s="554"/>
      <c r="AV43" s="554"/>
      <c r="AW43" s="554"/>
      <c r="AX43" s="554"/>
      <c r="AY43" s="554"/>
      <c r="AZ43" s="554"/>
      <c r="BA43" s="554"/>
      <c r="BB43" s="554"/>
      <c r="BC43" s="554"/>
      <c r="BD43" s="554"/>
      <c r="BE43" s="554"/>
      <c r="BF43" s="554"/>
      <c r="BG43" s="554"/>
      <c r="BH43" s="554"/>
      <c r="BI43" s="554"/>
      <c r="BJ43" s="554"/>
      <c r="BK43" s="554"/>
      <c r="BL43" s="554"/>
      <c r="BM43" s="554"/>
      <c r="BN43" s="554"/>
      <c r="BO43" s="554"/>
      <c r="BP43" s="554"/>
      <c r="BQ43" s="554"/>
      <c r="BR43" s="554"/>
      <c r="BS43" s="554"/>
      <c r="BT43" s="554"/>
      <c r="BU43" s="554"/>
      <c r="BV43" s="554"/>
      <c r="BW43" s="554"/>
      <c r="BX43" s="554"/>
      <c r="BY43" s="554"/>
      <c r="BZ43" s="554"/>
      <c r="CA43" s="554"/>
      <c r="CB43" s="554"/>
      <c r="CC43" s="554"/>
      <c r="CD43" s="554"/>
      <c r="CE43" s="554"/>
      <c r="CF43" s="554"/>
      <c r="CG43" s="554"/>
      <c r="CH43" s="554"/>
      <c r="CI43" s="554"/>
      <c r="CJ43" s="554"/>
      <c r="CK43" s="554"/>
      <c r="CL43" s="554"/>
      <c r="CM43" s="554"/>
      <c r="CN43" s="554"/>
      <c r="CO43" s="554"/>
      <c r="CP43" s="554"/>
      <c r="CQ43" s="554"/>
      <c r="CR43" s="554"/>
      <c r="CS43" s="554"/>
      <c r="CT43" s="554"/>
      <c r="CU43" s="554"/>
      <c r="CV43" s="554"/>
      <c r="CW43" s="554"/>
      <c r="CX43" s="554"/>
      <c r="CY43" s="554"/>
      <c r="CZ43" s="554"/>
      <c r="DA43" s="121"/>
      <c r="DB43" s="121"/>
      <c r="DC43" s="121"/>
      <c r="DD43" s="121"/>
    </row>
    <row r="44" spans="1:112" s="317" customFormat="1">
      <c r="A44" s="312">
        <v>1</v>
      </c>
      <c r="B44" s="510" t="s">
        <v>749</v>
      </c>
      <c r="C44" s="511">
        <v>186.6</v>
      </c>
      <c r="D44" s="138">
        <f t="shared" ref="D44" si="20">C44</f>
        <v>186.6</v>
      </c>
      <c r="E44" s="511">
        <v>0.89000000000000012</v>
      </c>
      <c r="F44" s="634"/>
      <c r="G44" s="634"/>
      <c r="H44" s="556">
        <v>18</v>
      </c>
      <c r="I44" s="554"/>
      <c r="J44" s="554"/>
      <c r="K44" s="554"/>
      <c r="L44" s="554"/>
      <c r="M44" s="569"/>
      <c r="N44" s="579"/>
      <c r="O44" s="620"/>
      <c r="P44" s="621"/>
      <c r="Q44" s="554"/>
      <c r="R44" s="554"/>
      <c r="S44" s="554"/>
      <c r="T44" s="554"/>
      <c r="U44" s="569"/>
      <c r="V44" s="579"/>
      <c r="W44" s="620"/>
      <c r="X44" s="621"/>
      <c r="Y44" s="554"/>
      <c r="Z44" s="554"/>
      <c r="AA44" s="554"/>
      <c r="AB44" s="554"/>
      <c r="AC44" s="569">
        <v>0.02</v>
      </c>
      <c r="AD44" s="579">
        <v>0.02</v>
      </c>
      <c r="AE44" s="620"/>
      <c r="AF44" s="621"/>
      <c r="AG44" s="554"/>
      <c r="AH44" s="554"/>
      <c r="AI44" s="554"/>
      <c r="AJ44" s="554"/>
      <c r="AK44" s="569"/>
      <c r="AL44" s="579"/>
      <c r="AM44" s="620"/>
      <c r="AN44" s="621"/>
      <c r="AO44" s="554"/>
      <c r="AP44" s="554"/>
      <c r="AQ44" s="554"/>
      <c r="AR44" s="554"/>
      <c r="AS44" s="569"/>
      <c r="AT44" s="579"/>
      <c r="AU44" s="620"/>
      <c r="AV44" s="621"/>
      <c r="AW44" s="554"/>
      <c r="AX44" s="554"/>
      <c r="AY44" s="554"/>
      <c r="AZ44" s="554"/>
      <c r="BA44" s="569">
        <v>0.01</v>
      </c>
      <c r="BB44" s="579">
        <v>0.01</v>
      </c>
      <c r="BC44" s="620"/>
      <c r="BD44" s="621"/>
      <c r="BE44" s="554"/>
      <c r="BF44" s="554"/>
      <c r="BG44" s="554"/>
      <c r="BH44" s="554"/>
      <c r="BI44" s="569"/>
      <c r="BJ44" s="579"/>
      <c r="BK44" s="620"/>
      <c r="BL44" s="621"/>
      <c r="BM44" s="554"/>
      <c r="BN44" s="554"/>
      <c r="BO44" s="554"/>
      <c r="BP44" s="554"/>
      <c r="BQ44" s="569"/>
      <c r="BR44" s="579">
        <v>0.23</v>
      </c>
      <c r="BS44" s="620"/>
      <c r="BT44" s="621"/>
      <c r="BU44" s="554"/>
      <c r="BV44" s="554"/>
      <c r="BW44" s="554"/>
      <c r="BX44" s="554"/>
      <c r="BY44" s="569"/>
      <c r="BZ44" s="579"/>
      <c r="CA44" s="620"/>
      <c r="CB44" s="621"/>
      <c r="CC44" s="554"/>
      <c r="CD44" s="554"/>
      <c r="CE44" s="554"/>
      <c r="CF44" s="554"/>
      <c r="CG44" s="569"/>
      <c r="CH44" s="579"/>
      <c r="CI44" s="620"/>
      <c r="CJ44" s="621"/>
      <c r="CK44" s="554"/>
      <c r="CL44" s="554"/>
      <c r="CM44" s="554"/>
      <c r="CN44" s="554"/>
      <c r="CO44" s="569">
        <v>0</v>
      </c>
      <c r="CP44" s="579"/>
      <c r="CQ44" s="620"/>
      <c r="CR44" s="621"/>
      <c r="CS44" s="554"/>
      <c r="CT44" s="554"/>
      <c r="CU44" s="554"/>
      <c r="CV44" s="554"/>
      <c r="CW44" s="569">
        <v>0</v>
      </c>
      <c r="CX44" s="579"/>
      <c r="CY44" s="620"/>
      <c r="CZ44" s="621"/>
      <c r="DA44" s="588"/>
      <c r="DB44" s="596"/>
      <c r="DC44" s="588"/>
      <c r="DD44" s="596"/>
      <c r="DE44" s="121">
        <f t="shared" ref="DE44:DE46" si="21">M44+U44+AC44+AK44+AS44+BA44+BI44+BQ44+BY44+CG44+CO44+CW44</f>
        <v>0.03</v>
      </c>
      <c r="DH44" s="656"/>
    </row>
    <row r="45" spans="1:112" s="317" customFormat="1">
      <c r="A45" s="312">
        <v>2</v>
      </c>
      <c r="B45" s="510" t="s">
        <v>765</v>
      </c>
      <c r="C45" s="511">
        <v>124.55</v>
      </c>
      <c r="D45" s="138">
        <v>124.55</v>
      </c>
      <c r="E45" s="511">
        <v>0.76</v>
      </c>
      <c r="F45" s="634"/>
      <c r="G45" s="634"/>
      <c r="H45" s="556">
        <v>0</v>
      </c>
      <c r="I45" s="554"/>
      <c r="J45" s="554"/>
      <c r="K45" s="554"/>
      <c r="L45" s="554"/>
      <c r="M45" s="569"/>
      <c r="N45" s="579"/>
      <c r="O45" s="620"/>
      <c r="P45" s="621"/>
      <c r="Q45" s="554"/>
      <c r="R45" s="554"/>
      <c r="S45" s="554"/>
      <c r="T45" s="554"/>
      <c r="U45" s="569"/>
      <c r="V45" s="579"/>
      <c r="W45" s="620"/>
      <c r="X45" s="621"/>
      <c r="Y45" s="554"/>
      <c r="Z45" s="554"/>
      <c r="AA45" s="554"/>
      <c r="AB45" s="554"/>
      <c r="AC45" s="569">
        <v>0.04</v>
      </c>
      <c r="AD45" s="579">
        <v>0.04</v>
      </c>
      <c r="AE45" s="620"/>
      <c r="AF45" s="621"/>
      <c r="AG45" s="554"/>
      <c r="AH45" s="554"/>
      <c r="AI45" s="554"/>
      <c r="AJ45" s="554"/>
      <c r="AK45" s="569"/>
      <c r="AL45" s="579"/>
      <c r="AM45" s="620"/>
      <c r="AN45" s="621"/>
      <c r="AO45" s="554"/>
      <c r="AP45" s="554"/>
      <c r="AQ45" s="554"/>
      <c r="AR45" s="554"/>
      <c r="AS45" s="569"/>
      <c r="AT45" s="579"/>
      <c r="AU45" s="620"/>
      <c r="AV45" s="621"/>
      <c r="AW45" s="554"/>
      <c r="AX45" s="554"/>
      <c r="AY45" s="554"/>
      <c r="AZ45" s="554"/>
      <c r="BA45" s="569"/>
      <c r="BB45" s="579"/>
      <c r="BC45" s="620"/>
      <c r="BD45" s="621"/>
      <c r="BE45" s="554"/>
      <c r="BF45" s="554"/>
      <c r="BG45" s="554"/>
      <c r="BH45" s="554"/>
      <c r="BI45" s="569"/>
      <c r="BJ45" s="579"/>
      <c r="BK45" s="620"/>
      <c r="BL45" s="621"/>
      <c r="BM45" s="554"/>
      <c r="BN45" s="554"/>
      <c r="BO45" s="554"/>
      <c r="BP45" s="554"/>
      <c r="BQ45" s="569"/>
      <c r="BR45" s="579"/>
      <c r="BS45" s="620"/>
      <c r="BT45" s="621"/>
      <c r="BU45" s="554"/>
      <c r="BV45" s="554"/>
      <c r="BW45" s="554"/>
      <c r="BX45" s="554"/>
      <c r="BY45" s="569"/>
      <c r="BZ45" s="579"/>
      <c r="CA45" s="620"/>
      <c r="CB45" s="621"/>
      <c r="CC45" s="554"/>
      <c r="CD45" s="554"/>
      <c r="CE45" s="554"/>
      <c r="CF45" s="554"/>
      <c r="CG45" s="569"/>
      <c r="CH45" s="579"/>
      <c r="CI45" s="620"/>
      <c r="CJ45" s="621"/>
      <c r="CK45" s="554"/>
      <c r="CL45" s="554"/>
      <c r="CM45" s="554"/>
      <c r="CN45" s="554"/>
      <c r="CO45" s="569"/>
      <c r="CP45" s="579"/>
      <c r="CQ45" s="620"/>
      <c r="CR45" s="621"/>
      <c r="CS45" s="554"/>
      <c r="CT45" s="554"/>
      <c r="CU45" s="554"/>
      <c r="CV45" s="554"/>
      <c r="CW45" s="569"/>
      <c r="CX45" s="579"/>
      <c r="CY45" s="620"/>
      <c r="CZ45" s="621"/>
      <c r="DA45" s="588"/>
      <c r="DB45" s="596"/>
      <c r="DC45" s="588"/>
      <c r="DD45" s="596"/>
      <c r="DE45" s="121"/>
      <c r="DH45" s="656"/>
    </row>
    <row r="46" spans="1:112" s="512" customFormat="1">
      <c r="A46" s="312"/>
      <c r="B46" s="513" t="s">
        <v>757</v>
      </c>
      <c r="C46" s="514"/>
      <c r="D46" s="138"/>
      <c r="E46" s="514"/>
      <c r="F46" s="635"/>
      <c r="G46" s="635"/>
      <c r="H46" s="556">
        <v>0</v>
      </c>
      <c r="I46" s="559"/>
      <c r="J46" s="559"/>
      <c r="K46" s="559"/>
      <c r="L46" s="559"/>
      <c r="M46" s="572">
        <v>0.02</v>
      </c>
      <c r="N46" s="579">
        <v>0.02</v>
      </c>
      <c r="O46" s="625"/>
      <c r="P46" s="626"/>
      <c r="Q46" s="559"/>
      <c r="R46" s="559"/>
      <c r="S46" s="559"/>
      <c r="T46" s="559"/>
      <c r="U46" s="572"/>
      <c r="V46" s="582"/>
      <c r="W46" s="625"/>
      <c r="X46" s="626"/>
      <c r="Y46" s="559"/>
      <c r="Z46" s="559"/>
      <c r="AA46" s="559"/>
      <c r="AB46" s="559"/>
      <c r="AC46" s="572">
        <v>0.08</v>
      </c>
      <c r="AD46" s="582">
        <v>0.08</v>
      </c>
      <c r="AE46" s="625"/>
      <c r="AF46" s="626"/>
      <c r="AG46" s="559"/>
      <c r="AH46" s="559"/>
      <c r="AI46" s="559"/>
      <c r="AJ46" s="559"/>
      <c r="AK46" s="572">
        <v>1.1100000000000001</v>
      </c>
      <c r="AL46" s="582">
        <v>1.1100000000000001</v>
      </c>
      <c r="AM46" s="625"/>
      <c r="AN46" s="626"/>
      <c r="AO46" s="559"/>
      <c r="AP46" s="559"/>
      <c r="AQ46" s="559"/>
      <c r="AR46" s="559"/>
      <c r="AS46" s="572"/>
      <c r="AT46" s="582"/>
      <c r="AU46" s="625"/>
      <c r="AV46" s="626"/>
      <c r="AW46" s="559"/>
      <c r="AX46" s="559"/>
      <c r="AY46" s="559"/>
      <c r="AZ46" s="559"/>
      <c r="BA46" s="572">
        <v>0.05</v>
      </c>
      <c r="BB46" s="679">
        <v>0.05</v>
      </c>
      <c r="BC46" s="625"/>
      <c r="BD46" s="626"/>
      <c r="BE46" s="559"/>
      <c r="BF46" s="559"/>
      <c r="BG46" s="559"/>
      <c r="BH46" s="559"/>
      <c r="BI46" s="572"/>
      <c r="BJ46" s="582"/>
      <c r="BK46" s="625"/>
      <c r="BL46" s="626"/>
      <c r="BM46" s="559"/>
      <c r="BN46" s="559"/>
      <c r="BO46" s="559"/>
      <c r="BP46" s="559"/>
      <c r="BQ46" s="572"/>
      <c r="BR46" s="679">
        <v>0.94</v>
      </c>
      <c r="BS46" s="625"/>
      <c r="BT46" s="626"/>
      <c r="BU46" s="559"/>
      <c r="BV46" s="559"/>
      <c r="BW46" s="559"/>
      <c r="BX46" s="559"/>
      <c r="BY46" s="572"/>
      <c r="BZ46" s="582"/>
      <c r="CA46" s="625"/>
      <c r="CB46" s="626"/>
      <c r="CC46" s="559"/>
      <c r="CD46" s="559"/>
      <c r="CE46" s="559"/>
      <c r="CF46" s="559"/>
      <c r="CG46" s="572"/>
      <c r="CH46" s="582"/>
      <c r="CI46" s="625"/>
      <c r="CJ46" s="626"/>
      <c r="CK46" s="559"/>
      <c r="CL46" s="559"/>
      <c r="CM46" s="559"/>
      <c r="CN46" s="559"/>
      <c r="CO46" s="572"/>
      <c r="CP46" s="582"/>
      <c r="CQ46" s="625"/>
      <c r="CR46" s="626"/>
      <c r="CS46" s="559"/>
      <c r="CT46" s="559"/>
      <c r="CU46" s="559"/>
      <c r="CV46" s="559"/>
      <c r="CW46" s="572"/>
      <c r="CX46" s="582"/>
      <c r="CY46" s="625"/>
      <c r="CZ46" s="626"/>
      <c r="DA46" s="590"/>
      <c r="DB46" s="598"/>
      <c r="DC46" s="590"/>
      <c r="DD46" s="598"/>
      <c r="DE46" s="121">
        <f t="shared" si="21"/>
        <v>1.2600000000000002</v>
      </c>
      <c r="DH46" s="663"/>
    </row>
    <row r="47" spans="1:112" s="512" customFormat="1">
      <c r="A47" s="312"/>
      <c r="B47" s="515"/>
      <c r="C47" s="514"/>
      <c r="D47" s="556"/>
      <c r="E47" s="514"/>
      <c r="F47" s="635"/>
      <c r="G47" s="514"/>
      <c r="H47" s="556"/>
      <c r="I47" s="559"/>
      <c r="J47" s="559"/>
      <c r="K47" s="559"/>
      <c r="L47" s="559"/>
      <c r="M47" s="559"/>
      <c r="N47" s="559"/>
      <c r="O47" s="559"/>
      <c r="P47" s="559"/>
      <c r="Q47" s="559"/>
      <c r="R47" s="559"/>
      <c r="S47" s="559"/>
      <c r="T47" s="559"/>
      <c r="U47" s="559"/>
      <c r="V47" s="559"/>
      <c r="W47" s="559"/>
      <c r="X47" s="559"/>
      <c r="Y47" s="559"/>
      <c r="Z47" s="559"/>
      <c r="AA47" s="559"/>
      <c r="AB47" s="559"/>
      <c r="AC47" s="559"/>
      <c r="AD47" s="559"/>
      <c r="AE47" s="559"/>
      <c r="AF47" s="559"/>
      <c r="AG47" s="559"/>
      <c r="AH47" s="559"/>
      <c r="AI47" s="559"/>
      <c r="AJ47" s="559"/>
      <c r="AK47" s="559"/>
      <c r="AL47" s="559"/>
      <c r="AM47" s="559"/>
      <c r="AN47" s="559"/>
      <c r="AO47" s="559"/>
      <c r="AP47" s="559"/>
      <c r="AQ47" s="559"/>
      <c r="AR47" s="559"/>
      <c r="AS47" s="559"/>
      <c r="AT47" s="559"/>
      <c r="AU47" s="559"/>
      <c r="AV47" s="559"/>
      <c r="AW47" s="559"/>
      <c r="AX47" s="559"/>
      <c r="AY47" s="559"/>
      <c r="AZ47" s="559"/>
      <c r="BA47" s="559"/>
      <c r="BB47" s="559"/>
      <c r="BC47" s="559"/>
      <c r="BD47" s="559"/>
      <c r="BE47" s="559"/>
      <c r="BF47" s="559"/>
      <c r="BG47" s="559"/>
      <c r="BH47" s="559"/>
      <c r="BI47" s="559"/>
      <c r="BJ47" s="559"/>
      <c r="BK47" s="559"/>
      <c r="BL47" s="559"/>
      <c r="BM47" s="559"/>
      <c r="BN47" s="559"/>
      <c r="BO47" s="559"/>
      <c r="BP47" s="559"/>
      <c r="BQ47" s="559"/>
      <c r="BR47" s="559"/>
      <c r="BS47" s="559"/>
      <c r="BT47" s="559"/>
      <c r="BU47" s="559"/>
      <c r="BV47" s="559"/>
      <c r="BW47" s="559"/>
      <c r="BX47" s="559"/>
      <c r="BY47" s="559"/>
      <c r="BZ47" s="559"/>
      <c r="CA47" s="559"/>
      <c r="CB47" s="559"/>
      <c r="CC47" s="559"/>
      <c r="CD47" s="559"/>
      <c r="CE47" s="559"/>
      <c r="CF47" s="559"/>
      <c r="CG47" s="559"/>
      <c r="CH47" s="559"/>
      <c r="CI47" s="559"/>
      <c r="CJ47" s="559"/>
      <c r="CK47" s="559"/>
      <c r="CL47" s="559"/>
      <c r="CM47" s="559"/>
      <c r="CN47" s="559"/>
      <c r="CO47" s="559"/>
      <c r="CP47" s="559"/>
      <c r="CQ47" s="559"/>
      <c r="CR47" s="559"/>
      <c r="CS47" s="559"/>
      <c r="CT47" s="559"/>
      <c r="CU47" s="559"/>
      <c r="CV47" s="559"/>
      <c r="CW47" s="559"/>
      <c r="CX47" s="559"/>
      <c r="CY47" s="559"/>
      <c r="CZ47" s="559"/>
      <c r="DH47" s="663"/>
    </row>
    <row r="48" spans="1:112">
      <c r="A48" s="312"/>
      <c r="B48" s="516"/>
      <c r="C48" s="511"/>
      <c r="D48" s="138"/>
      <c r="E48" s="511"/>
      <c r="F48" s="634"/>
      <c r="G48" s="511"/>
      <c r="H48" s="138"/>
      <c r="I48" s="554"/>
      <c r="J48" s="554"/>
      <c r="K48" s="554"/>
      <c r="L48" s="554"/>
      <c r="M48" s="554"/>
      <c r="N48" s="554"/>
      <c r="O48" s="554"/>
      <c r="P48" s="554"/>
      <c r="Q48" s="554"/>
      <c r="R48" s="554"/>
      <c r="S48" s="554"/>
      <c r="T48" s="554"/>
      <c r="U48" s="554"/>
      <c r="V48" s="554"/>
      <c r="W48" s="554"/>
      <c r="X48" s="554"/>
      <c r="Y48" s="554"/>
      <c r="Z48" s="554"/>
      <c r="AA48" s="554"/>
      <c r="AB48" s="554"/>
      <c r="AC48" s="554"/>
      <c r="AD48" s="554"/>
      <c r="AE48" s="554"/>
      <c r="AF48" s="554"/>
      <c r="AG48" s="554"/>
      <c r="AH48" s="554"/>
      <c r="AI48" s="554"/>
      <c r="AJ48" s="554"/>
      <c r="AK48" s="554"/>
      <c r="AL48" s="554"/>
      <c r="AM48" s="554"/>
      <c r="AN48" s="554"/>
      <c r="AO48" s="554"/>
      <c r="AP48" s="554"/>
      <c r="AQ48" s="554"/>
      <c r="AR48" s="554"/>
      <c r="AS48" s="554"/>
      <c r="AT48" s="554"/>
      <c r="AU48" s="554"/>
      <c r="AV48" s="554"/>
      <c r="AW48" s="554"/>
      <c r="AX48" s="554"/>
      <c r="AY48" s="554"/>
      <c r="AZ48" s="554"/>
      <c r="BA48" s="554"/>
      <c r="BB48" s="554"/>
      <c r="BC48" s="554"/>
      <c r="BD48" s="554"/>
      <c r="BE48" s="554"/>
      <c r="BF48" s="554"/>
      <c r="BG48" s="554"/>
      <c r="BH48" s="554"/>
      <c r="BI48" s="554"/>
      <c r="BJ48" s="554"/>
      <c r="BK48" s="554"/>
      <c r="BL48" s="554"/>
      <c r="BM48" s="554"/>
      <c r="BN48" s="554"/>
      <c r="BO48" s="554"/>
      <c r="BP48" s="554"/>
      <c r="BQ48" s="554"/>
      <c r="BR48" s="554"/>
      <c r="BS48" s="554"/>
      <c r="BT48" s="554"/>
      <c r="BU48" s="554"/>
      <c r="BV48" s="554"/>
      <c r="BW48" s="554"/>
      <c r="BX48" s="554"/>
      <c r="BY48" s="554"/>
      <c r="BZ48" s="554"/>
      <c r="CA48" s="554"/>
      <c r="CB48" s="554"/>
      <c r="CC48" s="554"/>
      <c r="CD48" s="554"/>
      <c r="CE48" s="554"/>
      <c r="CF48" s="554"/>
      <c r="CG48" s="554"/>
      <c r="CH48" s="554"/>
      <c r="CI48" s="554"/>
      <c r="CJ48" s="554"/>
      <c r="CK48" s="554"/>
      <c r="CL48" s="554"/>
      <c r="CM48" s="554"/>
      <c r="CN48" s="554"/>
      <c r="CO48" s="554"/>
      <c r="CP48" s="554"/>
      <c r="CQ48" s="554"/>
      <c r="CR48" s="554"/>
      <c r="CS48" s="554"/>
      <c r="CT48" s="554"/>
      <c r="CU48" s="554"/>
      <c r="CV48" s="554"/>
      <c r="CW48" s="554"/>
      <c r="CX48" s="554"/>
      <c r="CY48" s="554"/>
      <c r="CZ48" s="554"/>
      <c r="DA48" s="121"/>
      <c r="DB48" s="121"/>
      <c r="DC48" s="121"/>
      <c r="DD48" s="121"/>
    </row>
    <row r="49" spans="1:112">
      <c r="A49" s="263"/>
      <c r="B49" s="339" t="s">
        <v>469</v>
      </c>
      <c r="C49" s="511"/>
      <c r="D49" s="138"/>
      <c r="E49" s="511"/>
      <c r="F49" s="634"/>
      <c r="G49" s="511"/>
      <c r="H49" s="138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54"/>
      <c r="AB49" s="554"/>
      <c r="AC49" s="554"/>
      <c r="AD49" s="554"/>
      <c r="AE49" s="554"/>
      <c r="AF49" s="554"/>
      <c r="AG49" s="554"/>
      <c r="AH49" s="554"/>
      <c r="AI49" s="554"/>
      <c r="AJ49" s="554"/>
      <c r="AK49" s="554"/>
      <c r="AL49" s="554"/>
      <c r="AM49" s="554"/>
      <c r="AN49" s="554"/>
      <c r="AO49" s="554"/>
      <c r="AP49" s="554"/>
      <c r="AQ49" s="554"/>
      <c r="AR49" s="554"/>
      <c r="AS49" s="554"/>
      <c r="AT49" s="554"/>
      <c r="AU49" s="554"/>
      <c r="AV49" s="554"/>
      <c r="AW49" s="554"/>
      <c r="AX49" s="554"/>
      <c r="AY49" s="554"/>
      <c r="AZ49" s="554"/>
      <c r="BA49" s="554"/>
      <c r="BB49" s="554"/>
      <c r="BC49" s="554"/>
      <c r="BD49" s="554"/>
      <c r="BE49" s="554"/>
      <c r="BF49" s="554"/>
      <c r="BG49" s="554"/>
      <c r="BH49" s="554"/>
      <c r="BI49" s="554"/>
      <c r="BJ49" s="554"/>
      <c r="BK49" s="554"/>
      <c r="BL49" s="554"/>
      <c r="BM49" s="554"/>
      <c r="BN49" s="554"/>
      <c r="BO49" s="554"/>
      <c r="BP49" s="554"/>
      <c r="BQ49" s="554"/>
      <c r="BR49" s="554"/>
      <c r="BS49" s="554"/>
      <c r="BT49" s="554"/>
      <c r="BU49" s="554"/>
      <c r="BV49" s="554"/>
      <c r="BW49" s="554"/>
      <c r="BX49" s="554"/>
      <c r="BY49" s="554"/>
      <c r="BZ49" s="554"/>
      <c r="CA49" s="554"/>
      <c r="CB49" s="554"/>
      <c r="CC49" s="554"/>
      <c r="CD49" s="554"/>
      <c r="CE49" s="554"/>
      <c r="CF49" s="554"/>
      <c r="CG49" s="554"/>
      <c r="CH49" s="554"/>
      <c r="CI49" s="554"/>
      <c r="CJ49" s="554"/>
      <c r="CK49" s="554"/>
      <c r="CL49" s="554"/>
      <c r="CM49" s="554"/>
      <c r="CN49" s="554"/>
      <c r="CO49" s="554"/>
      <c r="CP49" s="554"/>
      <c r="CQ49" s="554"/>
      <c r="CR49" s="554"/>
      <c r="CS49" s="554"/>
      <c r="CT49" s="554"/>
      <c r="CU49" s="554"/>
      <c r="CV49" s="554"/>
      <c r="CW49" s="554"/>
      <c r="CX49" s="554"/>
      <c r="CY49" s="554"/>
      <c r="CZ49" s="554"/>
      <c r="DA49" s="121"/>
      <c r="DB49" s="121"/>
      <c r="DC49" s="121"/>
      <c r="DD49" s="121"/>
    </row>
    <row r="50" spans="1:112" s="611" customFormat="1">
      <c r="A50" s="607"/>
      <c r="B50" s="608" t="s">
        <v>478</v>
      </c>
      <c r="C50" s="609"/>
      <c r="D50" s="609">
        <f>SUM(D44:D49)</f>
        <v>311.14999999999998</v>
      </c>
      <c r="E50" s="609"/>
      <c r="F50" s="636"/>
      <c r="G50" s="636"/>
      <c r="H50" s="609">
        <f>SUM(H44:H49)</f>
        <v>18</v>
      </c>
      <c r="I50" s="593"/>
      <c r="J50" s="593"/>
      <c r="K50" s="593"/>
      <c r="L50" s="593"/>
      <c r="M50" s="593">
        <v>0.02</v>
      </c>
      <c r="N50" s="593">
        <f t="shared" ref="N50" si="22">SUM(N44:N49)</f>
        <v>0.02</v>
      </c>
      <c r="O50" s="627"/>
      <c r="P50" s="627"/>
      <c r="Q50" s="593"/>
      <c r="R50" s="593"/>
      <c r="S50" s="593"/>
      <c r="T50" s="593"/>
      <c r="U50" s="593">
        <v>0</v>
      </c>
      <c r="V50" s="593">
        <f t="shared" ref="V50" si="23">SUM(V44:V49)</f>
        <v>0</v>
      </c>
      <c r="W50" s="627"/>
      <c r="X50" s="627"/>
      <c r="Y50" s="593"/>
      <c r="Z50" s="593"/>
      <c r="AA50" s="593"/>
      <c r="AB50" s="593"/>
      <c r="AC50" s="593">
        <v>0.14000000000000001</v>
      </c>
      <c r="AD50" s="593">
        <f t="shared" ref="AD50" si="24">SUM(AD44:AD49)</f>
        <v>0.14000000000000001</v>
      </c>
      <c r="AE50" s="627"/>
      <c r="AF50" s="627"/>
      <c r="AG50" s="593"/>
      <c r="AH50" s="593"/>
      <c r="AI50" s="593"/>
      <c r="AJ50" s="593"/>
      <c r="AK50" s="593">
        <v>1.1100000000000001</v>
      </c>
      <c r="AL50" s="593">
        <f t="shared" ref="AL50" si="25">SUM(AL44:AL49)</f>
        <v>1.1100000000000001</v>
      </c>
      <c r="AM50" s="627"/>
      <c r="AN50" s="627"/>
      <c r="AO50" s="593"/>
      <c r="AP50" s="593"/>
      <c r="AQ50" s="593"/>
      <c r="AR50" s="593"/>
      <c r="AS50" s="593">
        <v>0</v>
      </c>
      <c r="AT50" s="593">
        <f t="shared" ref="AT50" si="26">SUM(AT44:AT49)</f>
        <v>0</v>
      </c>
      <c r="AU50" s="627"/>
      <c r="AV50" s="627"/>
      <c r="AW50" s="593"/>
      <c r="AX50" s="593"/>
      <c r="AY50" s="593"/>
      <c r="AZ50" s="593"/>
      <c r="BA50" s="593">
        <v>6.0000000000000005E-2</v>
      </c>
      <c r="BB50" s="593">
        <f t="shared" ref="BB50" si="27">SUM(BB44:BB49)</f>
        <v>6.0000000000000005E-2</v>
      </c>
      <c r="BC50" s="627"/>
      <c r="BD50" s="627"/>
      <c r="BE50" s="593"/>
      <c r="BF50" s="593"/>
      <c r="BG50" s="593"/>
      <c r="BH50" s="593"/>
      <c r="BI50" s="593">
        <v>0</v>
      </c>
      <c r="BJ50" s="593">
        <f t="shared" ref="BJ50" si="28">SUM(BJ44:BJ49)</f>
        <v>0</v>
      </c>
      <c r="BK50" s="627"/>
      <c r="BL50" s="627"/>
      <c r="BM50" s="593"/>
      <c r="BN50" s="593"/>
      <c r="BO50" s="593"/>
      <c r="BP50" s="593"/>
      <c r="BQ50" s="593">
        <f t="shared" ref="BQ50:BR50" si="29">SUM(BQ44:BQ49)</f>
        <v>0</v>
      </c>
      <c r="BR50" s="593">
        <f t="shared" si="29"/>
        <v>1.17</v>
      </c>
      <c r="BS50" s="627"/>
      <c r="BT50" s="627"/>
      <c r="BU50" s="593"/>
      <c r="BV50" s="593"/>
      <c r="BW50" s="593"/>
      <c r="BX50" s="593"/>
      <c r="BY50" s="593">
        <f t="shared" ref="BY50:BZ50" si="30">SUM(BY44:BY49)</f>
        <v>0</v>
      </c>
      <c r="BZ50" s="593">
        <f t="shared" si="30"/>
        <v>0</v>
      </c>
      <c r="CA50" s="627"/>
      <c r="CB50" s="627"/>
      <c r="CC50" s="593"/>
      <c r="CD50" s="593"/>
      <c r="CE50" s="593"/>
      <c r="CF50" s="593"/>
      <c r="CG50" s="593">
        <f t="shared" ref="CG50:CH50" si="31">SUM(CG44:CG49)</f>
        <v>0</v>
      </c>
      <c r="CH50" s="593">
        <f t="shared" si="31"/>
        <v>0</v>
      </c>
      <c r="CI50" s="627"/>
      <c r="CJ50" s="627"/>
      <c r="CK50" s="593"/>
      <c r="CL50" s="593"/>
      <c r="CM50" s="593"/>
      <c r="CN50" s="593"/>
      <c r="CO50" s="593">
        <f t="shared" ref="CO50:CP50" si="32">SUM(CO44:CO49)</f>
        <v>0</v>
      </c>
      <c r="CP50" s="593">
        <f t="shared" si="32"/>
        <v>0</v>
      </c>
      <c r="CQ50" s="627"/>
      <c r="CR50" s="627"/>
      <c r="CS50" s="593"/>
      <c r="CT50" s="593"/>
      <c r="CU50" s="593"/>
      <c r="CV50" s="593"/>
      <c r="CW50" s="593">
        <f t="shared" ref="CW50:CX50" si="33">SUM(CW44:CW49)</f>
        <v>0</v>
      </c>
      <c r="CX50" s="593">
        <f t="shared" si="33"/>
        <v>0</v>
      </c>
      <c r="CY50" s="627"/>
      <c r="CZ50" s="627"/>
      <c r="DA50" s="610"/>
      <c r="DB50" s="610"/>
      <c r="DC50" s="610"/>
      <c r="DD50" s="610"/>
      <c r="DE50" s="121">
        <f>M50+U50+AC50+AK50+AS50+BA50+BI50+BQ50+BY50+CG50+CO50+CW50</f>
        <v>1.33</v>
      </c>
      <c r="DH50" s="664"/>
    </row>
    <row r="51" spans="1:112" s="173" customFormat="1">
      <c r="A51" s="501"/>
      <c r="B51" s="197"/>
      <c r="C51" s="560"/>
      <c r="D51" s="560"/>
      <c r="E51" s="560"/>
      <c r="F51" s="638"/>
      <c r="G51" s="560"/>
      <c r="H51" s="560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57"/>
      <c r="AB51" s="557"/>
      <c r="AC51" s="557"/>
      <c r="AD51" s="557"/>
      <c r="AE51" s="557"/>
      <c r="AF51" s="557"/>
      <c r="AG51" s="557"/>
      <c r="AH51" s="557"/>
      <c r="AI51" s="557"/>
      <c r="AJ51" s="557"/>
      <c r="AK51" s="557"/>
      <c r="AL51" s="557"/>
      <c r="AM51" s="557"/>
      <c r="AN51" s="557"/>
      <c r="AO51" s="557"/>
      <c r="AP51" s="557"/>
      <c r="AQ51" s="557"/>
      <c r="AR51" s="557"/>
      <c r="AS51" s="557"/>
      <c r="AT51" s="557"/>
      <c r="AU51" s="557"/>
      <c r="AV51" s="557"/>
      <c r="AW51" s="557"/>
      <c r="AX51" s="557"/>
      <c r="AY51" s="557"/>
      <c r="AZ51" s="557"/>
      <c r="BA51" s="557"/>
      <c r="BB51" s="557"/>
      <c r="BC51" s="557"/>
      <c r="BD51" s="557"/>
      <c r="BE51" s="557"/>
      <c r="BF51" s="557"/>
      <c r="BG51" s="557"/>
      <c r="BH51" s="557"/>
      <c r="BI51" s="557"/>
      <c r="BJ51" s="557"/>
      <c r="BK51" s="557"/>
      <c r="BL51" s="557"/>
      <c r="BM51" s="557"/>
      <c r="BN51" s="557"/>
      <c r="BO51" s="557"/>
      <c r="BP51" s="557"/>
      <c r="BQ51" s="557"/>
      <c r="BR51" s="557"/>
      <c r="BS51" s="557"/>
      <c r="BT51" s="557"/>
      <c r="BU51" s="557"/>
      <c r="BV51" s="557"/>
      <c r="BW51" s="557"/>
      <c r="BX51" s="557"/>
      <c r="BY51" s="557"/>
      <c r="BZ51" s="557"/>
      <c r="CA51" s="557"/>
      <c r="CB51" s="557"/>
      <c r="CC51" s="557"/>
      <c r="CD51" s="557"/>
      <c r="CE51" s="557"/>
      <c r="CF51" s="557"/>
      <c r="CG51" s="557"/>
      <c r="CH51" s="557"/>
      <c r="CI51" s="557"/>
      <c r="CJ51" s="557"/>
      <c r="CK51" s="557"/>
      <c r="CL51" s="557"/>
      <c r="CM51" s="557"/>
      <c r="CN51" s="557"/>
      <c r="CO51" s="557"/>
      <c r="CP51" s="557"/>
      <c r="CQ51" s="557"/>
      <c r="CR51" s="557"/>
      <c r="CS51" s="557"/>
      <c r="CT51" s="557"/>
      <c r="CU51" s="557"/>
      <c r="CV51" s="557"/>
      <c r="CW51" s="557"/>
      <c r="CX51" s="557"/>
      <c r="CY51" s="557"/>
      <c r="CZ51" s="557"/>
      <c r="DH51" s="665"/>
    </row>
    <row r="52" spans="1:112" s="173" customFormat="1">
      <c r="A52" s="520" t="s">
        <v>690</v>
      </c>
      <c r="B52" s="518" t="s">
        <v>687</v>
      </c>
      <c r="C52" s="560"/>
      <c r="D52" s="560"/>
      <c r="E52" s="560"/>
      <c r="F52" s="638"/>
      <c r="G52" s="560"/>
      <c r="H52" s="560"/>
      <c r="I52" s="557"/>
      <c r="J52" s="557"/>
      <c r="K52" s="557"/>
      <c r="L52" s="557"/>
      <c r="M52" s="557"/>
      <c r="N52" s="557"/>
      <c r="O52" s="557"/>
      <c r="P52" s="557"/>
      <c r="Q52" s="557"/>
      <c r="R52" s="557"/>
      <c r="S52" s="557"/>
      <c r="T52" s="557"/>
      <c r="U52" s="557"/>
      <c r="V52" s="557"/>
      <c r="W52" s="557"/>
      <c r="X52" s="557"/>
      <c r="Y52" s="557"/>
      <c r="Z52" s="557"/>
      <c r="AA52" s="557"/>
      <c r="AB52" s="557"/>
      <c r="AC52" s="557"/>
      <c r="AD52" s="557"/>
      <c r="AE52" s="557"/>
      <c r="AF52" s="557"/>
      <c r="AG52" s="557"/>
      <c r="AH52" s="557"/>
      <c r="AI52" s="557"/>
      <c r="AJ52" s="557"/>
      <c r="AK52" s="557"/>
      <c r="AL52" s="557"/>
      <c r="AM52" s="557"/>
      <c r="AN52" s="557"/>
      <c r="AO52" s="557"/>
      <c r="AP52" s="557"/>
      <c r="AQ52" s="557"/>
      <c r="AR52" s="557"/>
      <c r="AS52" s="557"/>
      <c r="AT52" s="557"/>
      <c r="AU52" s="557"/>
      <c r="AV52" s="557"/>
      <c r="AW52" s="557"/>
      <c r="AX52" s="557"/>
      <c r="AY52" s="557"/>
      <c r="AZ52" s="557"/>
      <c r="BA52" s="557"/>
      <c r="BB52" s="557"/>
      <c r="BC52" s="557"/>
      <c r="BD52" s="557"/>
      <c r="BE52" s="557"/>
      <c r="BF52" s="557"/>
      <c r="BG52" s="557"/>
      <c r="BH52" s="557"/>
      <c r="BI52" s="557"/>
      <c r="BJ52" s="557"/>
      <c r="BK52" s="557"/>
      <c r="BL52" s="557"/>
      <c r="BM52" s="557"/>
      <c r="BN52" s="557"/>
      <c r="BO52" s="557"/>
      <c r="BP52" s="557"/>
      <c r="BQ52" s="557"/>
      <c r="BR52" s="557"/>
      <c r="BS52" s="557"/>
      <c r="BT52" s="557"/>
      <c r="BU52" s="557"/>
      <c r="BV52" s="557"/>
      <c r="BW52" s="557"/>
      <c r="BX52" s="557"/>
      <c r="BY52" s="557"/>
      <c r="BZ52" s="557"/>
      <c r="CA52" s="557"/>
      <c r="CB52" s="557"/>
      <c r="CC52" s="557"/>
      <c r="CD52" s="557"/>
      <c r="CE52" s="557"/>
      <c r="CF52" s="557"/>
      <c r="CG52" s="557"/>
      <c r="CH52" s="557"/>
      <c r="CI52" s="557"/>
      <c r="CJ52" s="557"/>
      <c r="CK52" s="557"/>
      <c r="CL52" s="557"/>
      <c r="CM52" s="557"/>
      <c r="CN52" s="557"/>
      <c r="CO52" s="557"/>
      <c r="CP52" s="557"/>
      <c r="CQ52" s="557"/>
      <c r="CR52" s="557"/>
      <c r="CS52" s="557"/>
      <c r="CT52" s="557"/>
      <c r="CU52" s="557"/>
      <c r="CV52" s="557"/>
      <c r="CW52" s="557"/>
      <c r="CX52" s="557"/>
      <c r="CY52" s="557"/>
      <c r="CZ52" s="557"/>
      <c r="DH52" s="665"/>
    </row>
    <row r="53" spans="1:112" s="173" customFormat="1">
      <c r="A53" s="501"/>
      <c r="B53" s="517" t="s">
        <v>691</v>
      </c>
      <c r="C53" s="558"/>
      <c r="D53" s="558"/>
      <c r="E53" s="558"/>
      <c r="F53" s="638"/>
      <c r="G53" s="560"/>
      <c r="H53" s="560"/>
      <c r="I53" s="557"/>
      <c r="J53" s="557"/>
      <c r="K53" s="557"/>
      <c r="L53" s="557"/>
      <c r="M53" s="557"/>
      <c r="N53" s="557"/>
      <c r="O53" s="557"/>
      <c r="P53" s="557"/>
      <c r="Q53" s="557"/>
      <c r="R53" s="557"/>
      <c r="S53" s="557"/>
      <c r="T53" s="557"/>
      <c r="U53" s="557"/>
      <c r="V53" s="557"/>
      <c r="W53" s="557"/>
      <c r="X53" s="557"/>
      <c r="Y53" s="557"/>
      <c r="Z53" s="557"/>
      <c r="AA53" s="557"/>
      <c r="AB53" s="557"/>
      <c r="AC53" s="557"/>
      <c r="AD53" s="557"/>
      <c r="AE53" s="557"/>
      <c r="AF53" s="557"/>
      <c r="AG53" s="557"/>
      <c r="AH53" s="557"/>
      <c r="AI53" s="557"/>
      <c r="AJ53" s="557"/>
      <c r="AK53" s="557"/>
      <c r="AL53" s="557"/>
      <c r="AM53" s="557"/>
      <c r="AN53" s="557"/>
      <c r="AO53" s="557"/>
      <c r="AP53" s="557"/>
      <c r="AQ53" s="557"/>
      <c r="AR53" s="557"/>
      <c r="AS53" s="557"/>
      <c r="AT53" s="557"/>
      <c r="AU53" s="557"/>
      <c r="AV53" s="557"/>
      <c r="AW53" s="557"/>
      <c r="AX53" s="557"/>
      <c r="AY53" s="557"/>
      <c r="AZ53" s="557"/>
      <c r="BA53" s="557"/>
      <c r="BB53" s="557"/>
      <c r="BC53" s="557"/>
      <c r="BD53" s="557"/>
      <c r="BE53" s="557"/>
      <c r="BF53" s="557"/>
      <c r="BG53" s="557"/>
      <c r="BH53" s="557"/>
      <c r="BI53" s="557"/>
      <c r="BJ53" s="557"/>
      <c r="BK53" s="557"/>
      <c r="BL53" s="557"/>
      <c r="BM53" s="557"/>
      <c r="BN53" s="557"/>
      <c r="BO53" s="557"/>
      <c r="BP53" s="557"/>
      <c r="BQ53" s="557"/>
      <c r="BR53" s="557"/>
      <c r="BS53" s="557"/>
      <c r="BT53" s="557"/>
      <c r="BU53" s="557"/>
      <c r="BV53" s="557"/>
      <c r="BW53" s="557"/>
      <c r="BX53" s="557"/>
      <c r="BY53" s="557"/>
      <c r="BZ53" s="557"/>
      <c r="CA53" s="557"/>
      <c r="CB53" s="557"/>
      <c r="CC53" s="557"/>
      <c r="CD53" s="557"/>
      <c r="CE53" s="557"/>
      <c r="CF53" s="557"/>
      <c r="CG53" s="557"/>
      <c r="CH53" s="557"/>
      <c r="CI53" s="557"/>
      <c r="CJ53" s="557"/>
      <c r="CK53" s="557"/>
      <c r="CL53" s="557"/>
      <c r="CM53" s="557"/>
      <c r="CN53" s="557"/>
      <c r="CO53" s="557"/>
      <c r="CP53" s="557"/>
      <c r="CQ53" s="557"/>
      <c r="CR53" s="557"/>
      <c r="CS53" s="557"/>
      <c r="CT53" s="557"/>
      <c r="CU53" s="557"/>
      <c r="CV53" s="557"/>
      <c r="CW53" s="557"/>
      <c r="CX53" s="557"/>
      <c r="CY53" s="557"/>
      <c r="CZ53" s="557"/>
      <c r="DH53" s="665"/>
    </row>
    <row r="54" spans="1:112" s="173" customFormat="1">
      <c r="A54" s="501"/>
      <c r="B54" s="339"/>
      <c r="C54" s="561"/>
      <c r="D54" s="561"/>
      <c r="E54" s="561"/>
      <c r="F54" s="639"/>
      <c r="G54" s="561"/>
      <c r="H54" s="561"/>
      <c r="I54" s="557"/>
      <c r="J54" s="557"/>
      <c r="K54" s="557"/>
      <c r="L54" s="557"/>
      <c r="M54" s="557"/>
      <c r="N54" s="557"/>
      <c r="O54" s="557"/>
      <c r="P54" s="557"/>
      <c r="Q54" s="557"/>
      <c r="R54" s="557"/>
      <c r="S54" s="557"/>
      <c r="T54" s="557"/>
      <c r="U54" s="557"/>
      <c r="V54" s="557"/>
      <c r="W54" s="557"/>
      <c r="X54" s="557"/>
      <c r="Y54" s="557"/>
      <c r="Z54" s="557"/>
      <c r="AA54" s="557"/>
      <c r="AB54" s="557"/>
      <c r="AC54" s="557"/>
      <c r="AD54" s="557"/>
      <c r="AE54" s="557"/>
      <c r="AF54" s="557"/>
      <c r="AG54" s="557"/>
      <c r="AH54" s="557"/>
      <c r="AI54" s="557"/>
      <c r="AJ54" s="557"/>
      <c r="AK54" s="557"/>
      <c r="AL54" s="557"/>
      <c r="AM54" s="557"/>
      <c r="AN54" s="557"/>
      <c r="AO54" s="557"/>
      <c r="AP54" s="557"/>
      <c r="AQ54" s="557"/>
      <c r="AR54" s="557"/>
      <c r="AS54" s="557"/>
      <c r="AT54" s="557"/>
      <c r="AU54" s="557"/>
      <c r="AV54" s="557"/>
      <c r="AW54" s="557"/>
      <c r="AX54" s="557"/>
      <c r="AY54" s="557"/>
      <c r="AZ54" s="557"/>
      <c r="BA54" s="557"/>
      <c r="BB54" s="557"/>
      <c r="BC54" s="557"/>
      <c r="BD54" s="557"/>
      <c r="BE54" s="557"/>
      <c r="BF54" s="557"/>
      <c r="BG54" s="557"/>
      <c r="BH54" s="557"/>
      <c r="BI54" s="557"/>
      <c r="BJ54" s="557"/>
      <c r="BK54" s="557"/>
      <c r="BL54" s="557"/>
      <c r="BM54" s="557"/>
      <c r="BN54" s="557"/>
      <c r="BO54" s="557"/>
      <c r="BP54" s="557"/>
      <c r="BQ54" s="557"/>
      <c r="BR54" s="557"/>
      <c r="BS54" s="557"/>
      <c r="BT54" s="557"/>
      <c r="BU54" s="557"/>
      <c r="BV54" s="557"/>
      <c r="BW54" s="557"/>
      <c r="BX54" s="557"/>
      <c r="BY54" s="557"/>
      <c r="BZ54" s="557"/>
      <c r="CA54" s="557"/>
      <c r="CB54" s="557"/>
      <c r="CC54" s="557"/>
      <c r="CD54" s="557"/>
      <c r="CE54" s="557"/>
      <c r="CF54" s="557"/>
      <c r="CG54" s="557"/>
      <c r="CH54" s="557"/>
      <c r="CI54" s="557"/>
      <c r="CJ54" s="557"/>
      <c r="CK54" s="557"/>
      <c r="CL54" s="557"/>
      <c r="CM54" s="557"/>
      <c r="CN54" s="557"/>
      <c r="CO54" s="557"/>
      <c r="CP54" s="557"/>
      <c r="CQ54" s="557"/>
      <c r="CR54" s="557"/>
      <c r="CS54" s="557"/>
      <c r="CT54" s="557"/>
      <c r="CU54" s="557"/>
      <c r="CV54" s="557"/>
      <c r="CW54" s="557"/>
      <c r="CX54" s="557"/>
      <c r="CY54" s="557"/>
      <c r="CZ54" s="557"/>
      <c r="DH54" s="665"/>
    </row>
    <row r="55" spans="1:112">
      <c r="A55" s="263"/>
      <c r="B55" s="193" t="s">
        <v>720</v>
      </c>
      <c r="C55" s="138"/>
      <c r="D55" s="138"/>
      <c r="E55" s="138"/>
      <c r="F55" s="632"/>
      <c r="G55" s="138"/>
      <c r="H55" s="138"/>
      <c r="I55" s="554"/>
      <c r="J55" s="554"/>
      <c r="K55" s="554"/>
      <c r="L55" s="554"/>
      <c r="M55" s="554"/>
      <c r="N55" s="554"/>
      <c r="O55" s="554"/>
      <c r="P55" s="554"/>
      <c r="Q55" s="554"/>
      <c r="R55" s="554"/>
      <c r="S55" s="554"/>
      <c r="T55" s="554"/>
      <c r="U55" s="554"/>
      <c r="V55" s="554"/>
      <c r="W55" s="554"/>
      <c r="X55" s="554"/>
      <c r="Y55" s="554"/>
      <c r="Z55" s="554"/>
      <c r="AA55" s="554"/>
      <c r="AB55" s="554"/>
      <c r="AC55" s="554"/>
      <c r="AD55" s="554"/>
      <c r="AE55" s="554"/>
      <c r="AF55" s="554"/>
      <c r="AG55" s="554"/>
      <c r="AH55" s="554"/>
      <c r="AI55" s="554"/>
      <c r="AJ55" s="554"/>
      <c r="AK55" s="554"/>
      <c r="AL55" s="554"/>
      <c r="AM55" s="554"/>
      <c r="AN55" s="554"/>
      <c r="AO55" s="554"/>
      <c r="AP55" s="554"/>
      <c r="AQ55" s="554"/>
      <c r="AR55" s="554"/>
      <c r="AS55" s="554"/>
      <c r="AT55" s="554"/>
      <c r="AU55" s="554"/>
      <c r="AV55" s="554"/>
      <c r="AW55" s="554"/>
      <c r="AX55" s="554"/>
      <c r="AY55" s="554"/>
      <c r="AZ55" s="554"/>
      <c r="BA55" s="554"/>
      <c r="BB55" s="554"/>
      <c r="BC55" s="554"/>
      <c r="BD55" s="554"/>
      <c r="BE55" s="554"/>
      <c r="BF55" s="554"/>
      <c r="BG55" s="554"/>
      <c r="BH55" s="554"/>
      <c r="BI55" s="554"/>
      <c r="BJ55" s="554"/>
      <c r="BK55" s="554"/>
      <c r="BL55" s="554"/>
      <c r="BM55" s="554"/>
      <c r="BN55" s="554"/>
      <c r="BO55" s="554"/>
      <c r="BP55" s="554"/>
      <c r="BQ55" s="554"/>
      <c r="BR55" s="554"/>
      <c r="BS55" s="554"/>
      <c r="BT55" s="554"/>
      <c r="BU55" s="554"/>
      <c r="BV55" s="554"/>
      <c r="BW55" s="554"/>
      <c r="BX55" s="554"/>
      <c r="BY55" s="554"/>
      <c r="BZ55" s="554"/>
      <c r="CA55" s="554"/>
      <c r="CB55" s="554"/>
      <c r="CC55" s="554"/>
      <c r="CD55" s="554"/>
      <c r="CE55" s="554"/>
      <c r="CF55" s="554"/>
      <c r="CG55" s="554"/>
      <c r="CH55" s="554"/>
      <c r="CI55" s="554"/>
      <c r="CJ55" s="554"/>
      <c r="CK55" s="554"/>
      <c r="CL55" s="554"/>
      <c r="CM55" s="554"/>
      <c r="CN55" s="554"/>
      <c r="CO55" s="554"/>
      <c r="CP55" s="554"/>
      <c r="CQ55" s="554"/>
      <c r="CR55" s="554"/>
      <c r="CS55" s="554"/>
      <c r="CT55" s="554"/>
      <c r="CU55" s="554"/>
      <c r="CV55" s="554"/>
      <c r="CW55" s="554"/>
      <c r="CX55" s="554"/>
      <c r="CY55" s="554"/>
      <c r="CZ55" s="554"/>
      <c r="DA55" s="121"/>
      <c r="DB55" s="121"/>
      <c r="DC55" s="121"/>
      <c r="DD55" s="121"/>
    </row>
    <row r="56" spans="1:112">
      <c r="A56" s="263"/>
      <c r="B56" s="193" t="s">
        <v>721</v>
      </c>
      <c r="C56" s="138"/>
      <c r="D56" s="138"/>
      <c r="E56" s="138"/>
      <c r="F56" s="632"/>
      <c r="G56" s="138"/>
      <c r="H56" s="138"/>
      <c r="I56" s="554"/>
      <c r="J56" s="554"/>
      <c r="K56" s="554"/>
      <c r="L56" s="554"/>
      <c r="M56" s="554"/>
      <c r="N56" s="554"/>
      <c r="O56" s="554"/>
      <c r="P56" s="554"/>
      <c r="Q56" s="554"/>
      <c r="R56" s="554"/>
      <c r="S56" s="554"/>
      <c r="T56" s="554"/>
      <c r="U56" s="554"/>
      <c r="V56" s="554"/>
      <c r="W56" s="554"/>
      <c r="X56" s="554"/>
      <c r="Y56" s="554"/>
      <c r="Z56" s="554"/>
      <c r="AA56" s="554"/>
      <c r="AB56" s="554"/>
      <c r="AC56" s="554"/>
      <c r="AD56" s="554"/>
      <c r="AE56" s="554"/>
      <c r="AF56" s="554"/>
      <c r="AG56" s="554"/>
      <c r="AH56" s="554"/>
      <c r="AI56" s="554"/>
      <c r="AJ56" s="554"/>
      <c r="AK56" s="554"/>
      <c r="AL56" s="554"/>
      <c r="AM56" s="554"/>
      <c r="AN56" s="554"/>
      <c r="AO56" s="554"/>
      <c r="AP56" s="554"/>
      <c r="AQ56" s="554"/>
      <c r="AR56" s="554"/>
      <c r="AS56" s="554"/>
      <c r="AT56" s="554"/>
      <c r="AU56" s="554"/>
      <c r="AV56" s="554"/>
      <c r="AW56" s="554"/>
      <c r="AX56" s="554"/>
      <c r="AY56" s="554"/>
      <c r="AZ56" s="554"/>
      <c r="BA56" s="554"/>
      <c r="BB56" s="554"/>
      <c r="BC56" s="554"/>
      <c r="BD56" s="554"/>
      <c r="BE56" s="554"/>
      <c r="BF56" s="554"/>
      <c r="BG56" s="554"/>
      <c r="BH56" s="554"/>
      <c r="BI56" s="554"/>
      <c r="BJ56" s="554"/>
      <c r="BK56" s="554"/>
      <c r="BL56" s="554"/>
      <c r="BM56" s="554"/>
      <c r="BN56" s="554"/>
      <c r="BO56" s="554"/>
      <c r="BP56" s="554"/>
      <c r="BQ56" s="554"/>
      <c r="BR56" s="554"/>
      <c r="BS56" s="554"/>
      <c r="BT56" s="554"/>
      <c r="BU56" s="554"/>
      <c r="BV56" s="554"/>
      <c r="BW56" s="554"/>
      <c r="BX56" s="554"/>
      <c r="BY56" s="554"/>
      <c r="BZ56" s="554"/>
      <c r="CA56" s="554"/>
      <c r="CB56" s="554"/>
      <c r="CC56" s="554"/>
      <c r="CD56" s="554"/>
      <c r="CE56" s="554"/>
      <c r="CF56" s="554"/>
      <c r="CG56" s="554"/>
      <c r="CH56" s="554"/>
      <c r="CI56" s="554"/>
      <c r="CJ56" s="554"/>
      <c r="CK56" s="554"/>
      <c r="CL56" s="554"/>
      <c r="CM56" s="554"/>
      <c r="CN56" s="554"/>
      <c r="CO56" s="554"/>
      <c r="CP56" s="554"/>
      <c r="CQ56" s="554"/>
      <c r="CR56" s="554"/>
      <c r="CS56" s="554"/>
      <c r="CT56" s="554"/>
      <c r="CU56" s="554"/>
      <c r="CV56" s="554"/>
      <c r="CW56" s="554"/>
      <c r="CX56" s="554"/>
      <c r="CY56" s="554"/>
      <c r="CZ56" s="554"/>
      <c r="DA56" s="121"/>
      <c r="DB56" s="121"/>
      <c r="DC56" s="121"/>
      <c r="DD56" s="121"/>
    </row>
    <row r="57" spans="1:112">
      <c r="A57" s="263" t="s">
        <v>29</v>
      </c>
      <c r="B57" s="158" t="s">
        <v>682</v>
      </c>
      <c r="C57" s="553">
        <f>C50+C38</f>
        <v>3503.8900000000003</v>
      </c>
      <c r="D57" s="553">
        <f>D50+D38</f>
        <v>3815.0400000000004</v>
      </c>
      <c r="E57" s="553"/>
      <c r="F57" s="631"/>
      <c r="G57" s="631"/>
      <c r="H57" s="553">
        <f>H50+H38</f>
        <v>163.25</v>
      </c>
      <c r="I57" s="554"/>
      <c r="J57" s="554"/>
      <c r="K57" s="554"/>
      <c r="L57" s="554"/>
      <c r="M57" s="569">
        <v>0.02</v>
      </c>
      <c r="N57" s="579">
        <f>N50+N38</f>
        <v>0.02</v>
      </c>
      <c r="O57" s="620"/>
      <c r="P57" s="621"/>
      <c r="Q57" s="554"/>
      <c r="R57" s="554"/>
      <c r="S57" s="554"/>
      <c r="T57" s="554"/>
      <c r="U57" s="569">
        <v>0</v>
      </c>
      <c r="V57" s="579">
        <f>V50+V38</f>
        <v>0</v>
      </c>
      <c r="W57" s="620"/>
      <c r="X57" s="621"/>
      <c r="Y57" s="554"/>
      <c r="Z57" s="554"/>
      <c r="AA57" s="554"/>
      <c r="AB57" s="554"/>
      <c r="AC57" s="569">
        <v>0.44</v>
      </c>
      <c r="AD57" s="579">
        <f>AD50+AD38</f>
        <v>0.44</v>
      </c>
      <c r="AE57" s="620"/>
      <c r="AF57" s="621"/>
      <c r="AG57" s="554"/>
      <c r="AH57" s="554"/>
      <c r="AI57" s="554"/>
      <c r="AJ57" s="554"/>
      <c r="AK57" s="569">
        <v>1.1100000000000001</v>
      </c>
      <c r="AL57" s="579">
        <f>AL50+AL38</f>
        <v>1.1100000000000001</v>
      </c>
      <c r="AM57" s="620"/>
      <c r="AN57" s="621"/>
      <c r="AO57" s="554"/>
      <c r="AP57" s="554"/>
      <c r="AQ57" s="554"/>
      <c r="AR57" s="554"/>
      <c r="AS57" s="569">
        <v>0.16</v>
      </c>
      <c r="AT57" s="579">
        <f>AT50+AT38</f>
        <v>0.16</v>
      </c>
      <c r="AU57" s="620"/>
      <c r="AV57" s="621"/>
      <c r="AW57" s="554"/>
      <c r="AX57" s="554"/>
      <c r="AY57" s="554"/>
      <c r="AZ57" s="554"/>
      <c r="BA57" s="569">
        <v>0.26</v>
      </c>
      <c r="BB57" s="579">
        <f>BB50+BB38</f>
        <v>0.26</v>
      </c>
      <c r="BC57" s="620"/>
      <c r="BD57" s="621"/>
      <c r="BE57" s="554"/>
      <c r="BF57" s="554"/>
      <c r="BG57" s="554"/>
      <c r="BH57" s="554"/>
      <c r="BI57" s="569">
        <v>0</v>
      </c>
      <c r="BJ57" s="579">
        <f>BJ50+BJ38</f>
        <v>0</v>
      </c>
      <c r="BK57" s="620"/>
      <c r="BL57" s="621"/>
      <c r="BM57" s="554"/>
      <c r="BN57" s="554"/>
      <c r="BO57" s="554"/>
      <c r="BP57" s="554"/>
      <c r="BQ57" s="569">
        <f>BQ50+BQ38</f>
        <v>0.1</v>
      </c>
      <c r="BR57" s="579">
        <f>BR50+BR38</f>
        <v>1.8199999999999998</v>
      </c>
      <c r="BS57" s="620"/>
      <c r="BT57" s="621"/>
      <c r="BU57" s="554"/>
      <c r="BV57" s="554"/>
      <c r="BW57" s="554"/>
      <c r="BX57" s="554"/>
      <c r="BY57" s="569">
        <f>BY50+BY38</f>
        <v>50</v>
      </c>
      <c r="BZ57" s="579">
        <f>BZ50+BZ38</f>
        <v>0</v>
      </c>
      <c r="CA57" s="620"/>
      <c r="CB57" s="621"/>
      <c r="CC57" s="554"/>
      <c r="CD57" s="554"/>
      <c r="CE57" s="554"/>
      <c r="CF57" s="554"/>
      <c r="CG57" s="569">
        <f>CG50+CG38</f>
        <v>30</v>
      </c>
      <c r="CH57" s="579">
        <f>CH50+CH38</f>
        <v>48.26</v>
      </c>
      <c r="CI57" s="620"/>
      <c r="CJ57" s="621"/>
      <c r="CK57" s="554"/>
      <c r="CL57" s="554"/>
      <c r="CM57" s="554"/>
      <c r="CN57" s="554"/>
      <c r="CO57" s="569">
        <f>CO50+CO38</f>
        <v>19.68</v>
      </c>
      <c r="CP57" s="579">
        <f>CP50+CP38</f>
        <v>0</v>
      </c>
      <c r="CQ57" s="620"/>
      <c r="CR57" s="621"/>
      <c r="CS57" s="554"/>
      <c r="CT57" s="554"/>
      <c r="CU57" s="554"/>
      <c r="CV57" s="554"/>
      <c r="CW57" s="569">
        <f>CW50+CW38</f>
        <v>0</v>
      </c>
      <c r="CX57" s="579">
        <f>CX50+CX38</f>
        <v>0</v>
      </c>
      <c r="CY57" s="620"/>
      <c r="CZ57" s="621"/>
      <c r="DA57" s="588"/>
      <c r="DB57" s="596"/>
      <c r="DC57" s="588"/>
      <c r="DD57" s="596"/>
      <c r="DE57" s="121">
        <f>M57+U57+AC57+AK57+AS57+BA57+BI57+BQ57+BY57+CG57+CO57+CW57</f>
        <v>101.77000000000001</v>
      </c>
    </row>
    <row r="58" spans="1:112" s="110" customFormat="1" ht="15" customHeight="1">
      <c r="A58" s="495" t="s">
        <v>681</v>
      </c>
      <c r="B58" s="187" t="s">
        <v>471</v>
      </c>
      <c r="C58" s="138"/>
      <c r="D58" s="138"/>
      <c r="E58" s="138"/>
      <c r="F58" s="632"/>
      <c r="G58" s="138"/>
      <c r="H58" s="138"/>
      <c r="I58" s="562"/>
      <c r="J58" s="562"/>
      <c r="K58" s="562"/>
      <c r="L58" s="562"/>
      <c r="M58" s="562"/>
      <c r="N58" s="562"/>
      <c r="O58" s="562"/>
      <c r="P58" s="562"/>
      <c r="Q58" s="562"/>
      <c r="R58" s="562"/>
      <c r="S58" s="562"/>
      <c r="T58" s="562"/>
      <c r="U58" s="562"/>
      <c r="V58" s="562"/>
      <c r="W58" s="562"/>
      <c r="X58" s="562"/>
      <c r="Y58" s="562"/>
      <c r="Z58" s="562"/>
      <c r="AA58" s="562"/>
      <c r="AB58" s="562"/>
      <c r="AC58" s="562"/>
      <c r="AD58" s="562"/>
      <c r="AE58" s="562"/>
      <c r="AF58" s="562"/>
      <c r="AG58" s="562"/>
      <c r="AH58" s="562"/>
      <c r="AI58" s="562"/>
      <c r="AJ58" s="562"/>
      <c r="AK58" s="562"/>
      <c r="AL58" s="562"/>
      <c r="AM58" s="562"/>
      <c r="AN58" s="562"/>
      <c r="AO58" s="562"/>
      <c r="AP58" s="562"/>
      <c r="AQ58" s="562"/>
      <c r="AR58" s="562"/>
      <c r="AS58" s="562"/>
      <c r="AT58" s="562"/>
      <c r="AU58" s="562"/>
      <c r="AV58" s="562"/>
      <c r="AW58" s="562"/>
      <c r="AX58" s="562"/>
      <c r="AY58" s="562"/>
      <c r="AZ58" s="562"/>
      <c r="BA58" s="562"/>
      <c r="BB58" s="562"/>
      <c r="BC58" s="562"/>
      <c r="BD58" s="562"/>
      <c r="BE58" s="562"/>
      <c r="BF58" s="562"/>
      <c r="BG58" s="562"/>
      <c r="BH58" s="562"/>
      <c r="BI58" s="562"/>
      <c r="BJ58" s="562"/>
      <c r="BK58" s="562"/>
      <c r="BL58" s="562"/>
      <c r="BM58" s="562"/>
      <c r="BN58" s="562"/>
      <c r="BO58" s="562"/>
      <c r="BP58" s="562"/>
      <c r="BQ58" s="562"/>
      <c r="BR58" s="562"/>
      <c r="BS58" s="562"/>
      <c r="BT58" s="562"/>
      <c r="BU58" s="562"/>
      <c r="BV58" s="562"/>
      <c r="BW58" s="562"/>
      <c r="BX58" s="562"/>
      <c r="BY58" s="562"/>
      <c r="BZ58" s="562"/>
      <c r="CA58" s="562"/>
      <c r="CB58" s="562"/>
      <c r="CC58" s="562"/>
      <c r="CD58" s="562"/>
      <c r="CE58" s="562"/>
      <c r="CF58" s="562"/>
      <c r="CG58" s="562"/>
      <c r="CH58" s="562"/>
      <c r="CI58" s="562"/>
      <c r="CJ58" s="562"/>
      <c r="CK58" s="562"/>
      <c r="CL58" s="562"/>
      <c r="CM58" s="562"/>
      <c r="CN58" s="562"/>
      <c r="CO58" s="562"/>
      <c r="CP58" s="562"/>
      <c r="CQ58" s="562"/>
      <c r="CR58" s="562"/>
      <c r="CS58" s="562"/>
      <c r="CT58" s="562"/>
      <c r="CU58" s="562"/>
      <c r="CV58" s="562"/>
      <c r="CW58" s="562"/>
      <c r="CX58" s="562"/>
      <c r="CY58" s="562"/>
      <c r="CZ58" s="562"/>
      <c r="DH58" s="666"/>
    </row>
    <row r="59" spans="1:112" s="131" customFormat="1">
      <c r="A59" s="498">
        <v>1</v>
      </c>
      <c r="B59" s="149" t="s">
        <v>75</v>
      </c>
      <c r="C59" s="138"/>
      <c r="D59" s="138"/>
      <c r="E59" s="138"/>
      <c r="F59" s="632"/>
      <c r="G59" s="632"/>
      <c r="H59" s="138">
        <v>210.1</v>
      </c>
      <c r="I59" s="563"/>
      <c r="J59" s="563"/>
      <c r="K59" s="563"/>
      <c r="L59" s="563"/>
      <c r="M59" s="573">
        <v>5.8</v>
      </c>
      <c r="N59" s="583">
        <v>5.8</v>
      </c>
      <c r="O59" s="628"/>
      <c r="P59" s="629"/>
      <c r="Q59" s="563"/>
      <c r="R59" s="563"/>
      <c r="S59" s="563"/>
      <c r="T59" s="563"/>
      <c r="U59" s="573">
        <v>10.81</v>
      </c>
      <c r="V59" s="583">
        <v>10.81</v>
      </c>
      <c r="W59" s="628"/>
      <c r="X59" s="629"/>
      <c r="Y59" s="563"/>
      <c r="Z59" s="563"/>
      <c r="AA59" s="563"/>
      <c r="AB59" s="563"/>
      <c r="AC59" s="573">
        <v>13.61</v>
      </c>
      <c r="AD59" s="583">
        <v>13.61</v>
      </c>
      <c r="AE59" s="628"/>
      <c r="AF59" s="629"/>
      <c r="AG59" s="563"/>
      <c r="AH59" s="563"/>
      <c r="AI59" s="563"/>
      <c r="AJ59" s="563"/>
      <c r="AK59" s="573">
        <v>5.2</v>
      </c>
      <c r="AL59" s="583">
        <v>5.2</v>
      </c>
      <c r="AM59" s="628"/>
      <c r="AN59" s="629"/>
      <c r="AO59" s="563"/>
      <c r="AP59" s="563"/>
      <c r="AQ59" s="563"/>
      <c r="AR59" s="563"/>
      <c r="AS59" s="573">
        <v>10.1</v>
      </c>
      <c r="AT59" s="583">
        <v>10.1</v>
      </c>
      <c r="AU59" s="628"/>
      <c r="AV59" s="629"/>
      <c r="AW59" s="563"/>
      <c r="AX59" s="563"/>
      <c r="AY59" s="563"/>
      <c r="AZ59" s="563"/>
      <c r="BA59" s="573">
        <v>15.5</v>
      </c>
      <c r="BB59" s="583">
        <v>15.5</v>
      </c>
      <c r="BC59" s="628"/>
      <c r="BD59" s="629"/>
      <c r="BE59" s="563"/>
      <c r="BF59" s="563"/>
      <c r="BG59" s="563"/>
      <c r="BH59" s="563"/>
      <c r="BI59" s="573">
        <v>10</v>
      </c>
      <c r="BJ59" s="583">
        <v>10</v>
      </c>
      <c r="BK59" s="628"/>
      <c r="BL59" s="629"/>
      <c r="BM59" s="563"/>
      <c r="BN59" s="563"/>
      <c r="BO59" s="563"/>
      <c r="BP59" s="563"/>
      <c r="BQ59" s="573">
        <v>70.56</v>
      </c>
      <c r="BR59" s="583">
        <v>63.82</v>
      </c>
      <c r="BS59" s="628"/>
      <c r="BT59" s="629"/>
      <c r="BU59" s="563"/>
      <c r="BV59" s="563"/>
      <c r="BW59" s="563"/>
      <c r="BX59" s="563"/>
      <c r="BY59" s="573">
        <v>25</v>
      </c>
      <c r="BZ59" s="583">
        <v>59.23</v>
      </c>
      <c r="CA59" s="628"/>
      <c r="CB59" s="629"/>
      <c r="CC59" s="563"/>
      <c r="CD59" s="563"/>
      <c r="CE59" s="563"/>
      <c r="CF59" s="563"/>
      <c r="CG59" s="573">
        <v>40</v>
      </c>
      <c r="CH59" s="583">
        <v>18.09</v>
      </c>
      <c r="CI59" s="628"/>
      <c r="CJ59" s="629"/>
      <c r="CK59" s="563"/>
      <c r="CL59" s="563"/>
      <c r="CM59" s="563"/>
      <c r="CN59" s="563"/>
      <c r="CO59" s="573">
        <v>40</v>
      </c>
      <c r="CP59" s="583">
        <v>20.5</v>
      </c>
      <c r="CQ59" s="628"/>
      <c r="CR59" s="629"/>
      <c r="CS59" s="563"/>
      <c r="CT59" s="563"/>
      <c r="CU59" s="563"/>
      <c r="CV59" s="563"/>
      <c r="CW59" s="573">
        <v>43.42</v>
      </c>
      <c r="CX59" s="583"/>
      <c r="CY59" s="628"/>
      <c r="CZ59" s="629"/>
      <c r="DA59" s="589"/>
      <c r="DB59" s="597"/>
      <c r="DC59" s="589"/>
      <c r="DD59" s="597"/>
      <c r="DE59" s="121">
        <f>M59+U59+AC59+AK59+AS59+BA59+BI59+BQ59+BY59+CG59+CO59+CW59</f>
        <v>290</v>
      </c>
      <c r="DH59" s="660"/>
    </row>
    <row r="60" spans="1:112" s="131" customFormat="1">
      <c r="A60" s="498">
        <v>2</v>
      </c>
      <c r="B60" s="149" t="s">
        <v>76</v>
      </c>
      <c r="C60" s="138"/>
      <c r="D60" s="138"/>
      <c r="E60" s="138"/>
      <c r="F60" s="632"/>
      <c r="G60" s="138"/>
      <c r="H60" s="138"/>
      <c r="I60" s="563"/>
      <c r="J60" s="563"/>
      <c r="K60" s="563"/>
      <c r="L60" s="563"/>
      <c r="M60" s="563"/>
      <c r="N60" s="563"/>
      <c r="O60" s="563"/>
      <c r="P60" s="563"/>
      <c r="Q60" s="563"/>
      <c r="R60" s="563"/>
      <c r="S60" s="563"/>
      <c r="T60" s="563"/>
      <c r="U60" s="563"/>
      <c r="V60" s="563"/>
      <c r="W60" s="563"/>
      <c r="X60" s="563"/>
      <c r="Y60" s="563"/>
      <c r="Z60" s="563"/>
      <c r="AA60" s="563"/>
      <c r="AB60" s="563"/>
      <c r="AC60" s="563"/>
      <c r="AD60" s="563"/>
      <c r="AE60" s="563"/>
      <c r="AF60" s="563"/>
      <c r="AG60" s="563"/>
      <c r="AH60" s="563"/>
      <c r="AI60" s="563"/>
      <c r="AJ60" s="563"/>
      <c r="AK60" s="563"/>
      <c r="AL60" s="563"/>
      <c r="AM60" s="563"/>
      <c r="AN60" s="563"/>
      <c r="AO60" s="563"/>
      <c r="AP60" s="563"/>
      <c r="AQ60" s="563"/>
      <c r="AR60" s="563"/>
      <c r="AS60" s="563"/>
      <c r="AT60" s="563"/>
      <c r="AU60" s="563"/>
      <c r="AV60" s="563"/>
      <c r="AW60" s="563"/>
      <c r="AX60" s="563"/>
      <c r="AY60" s="563"/>
      <c r="AZ60" s="563"/>
      <c r="BA60" s="563"/>
      <c r="BB60" s="563"/>
      <c r="BC60" s="563"/>
      <c r="BD60" s="563"/>
      <c r="BE60" s="563"/>
      <c r="BF60" s="563"/>
      <c r="BG60" s="563"/>
      <c r="BH60" s="563"/>
      <c r="BI60" s="563"/>
      <c r="BJ60" s="563"/>
      <c r="BK60" s="563"/>
      <c r="BL60" s="563"/>
      <c r="BM60" s="563"/>
      <c r="BN60" s="563"/>
      <c r="BO60" s="563"/>
      <c r="BP60" s="563"/>
      <c r="BQ60" s="563"/>
      <c r="BR60" s="563"/>
      <c r="BS60" s="563"/>
      <c r="BT60" s="563"/>
      <c r="BU60" s="563"/>
      <c r="BV60" s="563"/>
      <c r="BW60" s="563"/>
      <c r="BX60" s="563"/>
      <c r="BY60" s="563"/>
      <c r="BZ60" s="563"/>
      <c r="CA60" s="563"/>
      <c r="CB60" s="563"/>
      <c r="CC60" s="563"/>
      <c r="CD60" s="563"/>
      <c r="CE60" s="563"/>
      <c r="CF60" s="563"/>
      <c r="CG60" s="563"/>
      <c r="CH60" s="563"/>
      <c r="CI60" s="563"/>
      <c r="CJ60" s="563"/>
      <c r="CK60" s="563"/>
      <c r="CL60" s="563"/>
      <c r="CM60" s="563"/>
      <c r="CN60" s="563"/>
      <c r="CO60" s="563"/>
      <c r="CP60" s="563"/>
      <c r="CQ60" s="563"/>
      <c r="CR60" s="563"/>
      <c r="CS60" s="563"/>
      <c r="CT60" s="563"/>
      <c r="CU60" s="563"/>
      <c r="CV60" s="563"/>
      <c r="CW60" s="563"/>
      <c r="CX60" s="563"/>
      <c r="CY60" s="563"/>
      <c r="CZ60" s="563"/>
      <c r="DH60" s="660"/>
    </row>
    <row r="61" spans="1:112" s="603" customFormat="1">
      <c r="A61" s="599"/>
      <c r="B61" s="600" t="s">
        <v>683</v>
      </c>
      <c r="C61" s="601"/>
      <c r="D61" s="601"/>
      <c r="E61" s="601"/>
      <c r="F61" s="633"/>
      <c r="G61" s="633"/>
      <c r="H61" s="601">
        <f t="shared" ref="H61" si="34">SUM(H59:H60)</f>
        <v>210.1</v>
      </c>
      <c r="I61" s="591"/>
      <c r="J61" s="591"/>
      <c r="K61" s="591"/>
      <c r="L61" s="591"/>
      <c r="M61" s="591">
        <v>5.8</v>
      </c>
      <c r="N61" s="591">
        <f t="shared" ref="N61" si="35">SUM(N59:N60)</f>
        <v>5.8</v>
      </c>
      <c r="O61" s="622"/>
      <c r="P61" s="622"/>
      <c r="Q61" s="591"/>
      <c r="R61" s="591"/>
      <c r="S61" s="591"/>
      <c r="T61" s="591"/>
      <c r="U61" s="591">
        <v>10.81</v>
      </c>
      <c r="V61" s="591">
        <f t="shared" ref="V61" si="36">SUM(V59:V60)</f>
        <v>10.81</v>
      </c>
      <c r="W61" s="622"/>
      <c r="X61" s="622"/>
      <c r="Y61" s="591"/>
      <c r="Z61" s="591"/>
      <c r="AA61" s="591"/>
      <c r="AB61" s="591"/>
      <c r="AC61" s="591">
        <v>13.61</v>
      </c>
      <c r="AD61" s="591">
        <f t="shared" ref="AD61" si="37">SUM(AD59:AD60)</f>
        <v>13.61</v>
      </c>
      <c r="AE61" s="622"/>
      <c r="AF61" s="622"/>
      <c r="AG61" s="591"/>
      <c r="AH61" s="591"/>
      <c r="AI61" s="591"/>
      <c r="AJ61" s="591"/>
      <c r="AK61" s="591">
        <v>5.2</v>
      </c>
      <c r="AL61" s="591">
        <f t="shared" ref="AL61" si="38">SUM(AL59:AL60)</f>
        <v>5.2</v>
      </c>
      <c r="AM61" s="622"/>
      <c r="AN61" s="622"/>
      <c r="AO61" s="591"/>
      <c r="AP61" s="591"/>
      <c r="AQ61" s="591"/>
      <c r="AR61" s="591"/>
      <c r="AS61" s="591">
        <v>10.1</v>
      </c>
      <c r="AT61" s="591">
        <f t="shared" ref="AT61" si="39">SUM(AT59:AT60)</f>
        <v>10.1</v>
      </c>
      <c r="AU61" s="622"/>
      <c r="AV61" s="622"/>
      <c r="AW61" s="591"/>
      <c r="AX61" s="591"/>
      <c r="AY61" s="591"/>
      <c r="AZ61" s="591"/>
      <c r="BA61" s="591">
        <v>15.5</v>
      </c>
      <c r="BB61" s="591">
        <f t="shared" ref="BB61" si="40">SUM(BB59:BB60)</f>
        <v>15.5</v>
      </c>
      <c r="BC61" s="622"/>
      <c r="BD61" s="622"/>
      <c r="BE61" s="591"/>
      <c r="BF61" s="591"/>
      <c r="BG61" s="591"/>
      <c r="BH61" s="591"/>
      <c r="BI61" s="591">
        <v>10</v>
      </c>
      <c r="BJ61" s="591">
        <f t="shared" ref="BJ61" si="41">SUM(BJ59:BJ60)</f>
        <v>10</v>
      </c>
      <c r="BK61" s="622"/>
      <c r="BL61" s="622"/>
      <c r="BM61" s="591"/>
      <c r="BN61" s="591"/>
      <c r="BO61" s="591"/>
      <c r="BP61" s="591"/>
      <c r="BQ61" s="591">
        <f t="shared" ref="BQ61:BR61" si="42">SUM(BQ59:BQ60)</f>
        <v>70.56</v>
      </c>
      <c r="BR61" s="591">
        <f t="shared" si="42"/>
        <v>63.82</v>
      </c>
      <c r="BS61" s="622"/>
      <c r="BT61" s="622"/>
      <c r="BU61" s="591"/>
      <c r="BV61" s="591"/>
      <c r="BW61" s="591"/>
      <c r="BX61" s="591"/>
      <c r="BY61" s="591">
        <f t="shared" ref="BY61:BZ61" si="43">SUM(BY59:BY60)</f>
        <v>25</v>
      </c>
      <c r="BZ61" s="591">
        <f t="shared" si="43"/>
        <v>59.23</v>
      </c>
      <c r="CA61" s="622"/>
      <c r="CB61" s="622"/>
      <c r="CC61" s="591"/>
      <c r="CD61" s="591"/>
      <c r="CE61" s="591"/>
      <c r="CF61" s="591"/>
      <c r="CG61" s="591">
        <f t="shared" ref="CG61:CH61" si="44">SUM(CG59:CG60)</f>
        <v>40</v>
      </c>
      <c r="CH61" s="591">
        <f t="shared" si="44"/>
        <v>18.09</v>
      </c>
      <c r="CI61" s="622"/>
      <c r="CJ61" s="622"/>
      <c r="CK61" s="591"/>
      <c r="CL61" s="591"/>
      <c r="CM61" s="591"/>
      <c r="CN61" s="591"/>
      <c r="CO61" s="591">
        <f t="shared" ref="CO61:CP61" si="45">SUM(CO59:CO60)</f>
        <v>40</v>
      </c>
      <c r="CP61" s="591">
        <f t="shared" si="45"/>
        <v>20.5</v>
      </c>
      <c r="CQ61" s="622"/>
      <c r="CR61" s="622"/>
      <c r="CS61" s="591"/>
      <c r="CT61" s="591"/>
      <c r="CU61" s="591"/>
      <c r="CV61" s="591"/>
      <c r="CW61" s="591">
        <f t="shared" ref="CW61:CX61" si="46">SUM(CW59:CW60)</f>
        <v>43.42</v>
      </c>
      <c r="CX61" s="591">
        <f t="shared" si="46"/>
        <v>0</v>
      </c>
      <c r="CY61" s="622"/>
      <c r="CZ61" s="622"/>
      <c r="DA61" s="602"/>
      <c r="DB61" s="602"/>
      <c r="DC61" s="602"/>
      <c r="DD61" s="602"/>
      <c r="DE61" s="121">
        <f>M61+U61+AC61+AK61+AS61+BA61+BI61+BQ61+BY61+CG61+CO61+CW61</f>
        <v>290</v>
      </c>
      <c r="DH61" s="667"/>
    </row>
    <row r="62" spans="1:112">
      <c r="A62" s="499"/>
      <c r="B62" s="149" t="s">
        <v>54</v>
      </c>
      <c r="C62" s="553"/>
      <c r="D62" s="553"/>
      <c r="E62" s="553"/>
      <c r="F62" s="631"/>
      <c r="G62" s="553"/>
      <c r="H62" s="553"/>
      <c r="I62" s="554"/>
      <c r="J62" s="554"/>
      <c r="K62" s="554"/>
      <c r="L62" s="554"/>
      <c r="M62" s="554"/>
      <c r="N62" s="554"/>
      <c r="O62" s="554"/>
      <c r="P62" s="554"/>
      <c r="Q62" s="554"/>
      <c r="R62" s="554"/>
      <c r="S62" s="554"/>
      <c r="T62" s="554"/>
      <c r="U62" s="554"/>
      <c r="V62" s="554"/>
      <c r="W62" s="554"/>
      <c r="X62" s="554"/>
      <c r="Y62" s="554"/>
      <c r="Z62" s="554"/>
      <c r="AA62" s="554"/>
      <c r="AB62" s="554"/>
      <c r="AC62" s="554"/>
      <c r="AD62" s="554"/>
      <c r="AE62" s="554"/>
      <c r="AF62" s="554"/>
      <c r="AG62" s="554"/>
      <c r="AH62" s="554"/>
      <c r="AI62" s="554"/>
      <c r="AJ62" s="554"/>
      <c r="AK62" s="554"/>
      <c r="AL62" s="554"/>
      <c r="AM62" s="554"/>
      <c r="AN62" s="554"/>
      <c r="AO62" s="554"/>
      <c r="AP62" s="554"/>
      <c r="AQ62" s="554"/>
      <c r="AR62" s="554"/>
      <c r="AS62" s="554"/>
      <c r="AT62" s="554"/>
      <c r="AU62" s="554"/>
      <c r="AV62" s="554"/>
      <c r="AW62" s="554"/>
      <c r="AX62" s="554"/>
      <c r="AY62" s="554"/>
      <c r="AZ62" s="554"/>
      <c r="BA62" s="554"/>
      <c r="BB62" s="554"/>
      <c r="BC62" s="554"/>
      <c r="BD62" s="554"/>
      <c r="BE62" s="554"/>
      <c r="BF62" s="554"/>
      <c r="BG62" s="554"/>
      <c r="BH62" s="554"/>
      <c r="BI62" s="554"/>
      <c r="BJ62" s="554"/>
      <c r="BK62" s="554"/>
      <c r="BL62" s="554"/>
      <c r="BM62" s="554"/>
      <c r="BN62" s="554"/>
      <c r="BO62" s="554"/>
      <c r="BP62" s="554"/>
      <c r="BQ62" s="554"/>
      <c r="BR62" s="554"/>
      <c r="BS62" s="554"/>
      <c r="BT62" s="554"/>
      <c r="BU62" s="554"/>
      <c r="BV62" s="554"/>
      <c r="BW62" s="554"/>
      <c r="BX62" s="554"/>
      <c r="BY62" s="554"/>
      <c r="BZ62" s="554"/>
      <c r="CA62" s="554"/>
      <c r="CB62" s="554"/>
      <c r="CC62" s="554"/>
      <c r="CD62" s="554"/>
      <c r="CE62" s="554"/>
      <c r="CF62" s="554"/>
      <c r="CG62" s="554"/>
      <c r="CH62" s="554"/>
      <c r="CI62" s="554"/>
      <c r="CJ62" s="554"/>
      <c r="CK62" s="554"/>
      <c r="CL62" s="554"/>
      <c r="CM62" s="554"/>
      <c r="CN62" s="554"/>
      <c r="CO62" s="554"/>
      <c r="CP62" s="554"/>
      <c r="CQ62" s="554"/>
      <c r="CR62" s="554"/>
      <c r="CS62" s="554"/>
      <c r="CT62" s="554"/>
      <c r="CU62" s="554"/>
      <c r="CV62" s="554"/>
      <c r="CW62" s="554"/>
      <c r="CX62" s="554"/>
      <c r="CY62" s="554"/>
      <c r="CZ62" s="554"/>
      <c r="DA62" s="121"/>
      <c r="DB62" s="121"/>
      <c r="DC62" s="121"/>
      <c r="DD62" s="121"/>
    </row>
    <row r="63" spans="1:112" s="671" customFormat="1">
      <c r="A63" s="599"/>
      <c r="B63" s="604" t="s">
        <v>684</v>
      </c>
      <c r="C63" s="601">
        <f t="shared" ref="C63:H63" si="47">C27</f>
        <v>16103.22</v>
      </c>
      <c r="D63" s="601">
        <f t="shared" si="47"/>
        <v>16103.22</v>
      </c>
      <c r="E63" s="601">
        <f t="shared" si="47"/>
        <v>14796.699999999999</v>
      </c>
      <c r="F63" s="633"/>
      <c r="G63" s="633"/>
      <c r="H63" s="601">
        <f t="shared" si="47"/>
        <v>689.65</v>
      </c>
      <c r="I63" s="669"/>
      <c r="J63" s="669"/>
      <c r="K63" s="669"/>
      <c r="L63" s="669"/>
      <c r="M63" s="669">
        <v>19.39</v>
      </c>
      <c r="N63" s="669">
        <f t="shared" ref="N63" si="48">N27</f>
        <v>19.39</v>
      </c>
      <c r="O63" s="633"/>
      <c r="P63" s="633"/>
      <c r="Q63" s="669"/>
      <c r="R63" s="669"/>
      <c r="S63" s="669"/>
      <c r="T63" s="669"/>
      <c r="U63" s="669">
        <v>34.409999999999997</v>
      </c>
      <c r="V63" s="669">
        <f t="shared" ref="V63" si="49">V27</f>
        <v>34.409999999999997</v>
      </c>
      <c r="W63" s="633"/>
      <c r="X63" s="633"/>
      <c r="Y63" s="669"/>
      <c r="Z63" s="669"/>
      <c r="AA63" s="669"/>
      <c r="AB63" s="669"/>
      <c r="AC63" s="669">
        <v>40.869999999999997</v>
      </c>
      <c r="AD63" s="669">
        <f t="shared" ref="AD63" si="50">AD27</f>
        <v>40.869999999999997</v>
      </c>
      <c r="AE63" s="633"/>
      <c r="AF63" s="633"/>
      <c r="AG63" s="669"/>
      <c r="AH63" s="669"/>
      <c r="AI63" s="669"/>
      <c r="AJ63" s="669"/>
      <c r="AK63" s="669">
        <v>60.66</v>
      </c>
      <c r="AL63" s="669">
        <f t="shared" ref="AL63" si="51">AL27</f>
        <v>60.66</v>
      </c>
      <c r="AM63" s="633"/>
      <c r="AN63" s="633"/>
      <c r="AO63" s="669"/>
      <c r="AP63" s="669"/>
      <c r="AQ63" s="669"/>
      <c r="AR63" s="669"/>
      <c r="AS63" s="669">
        <v>43.910000000000004</v>
      </c>
      <c r="AT63" s="669">
        <f t="shared" ref="AT63" si="52">AT27</f>
        <v>43.910000000000004</v>
      </c>
      <c r="AU63" s="633"/>
      <c r="AV63" s="633"/>
      <c r="AW63" s="669"/>
      <c r="AX63" s="669"/>
      <c r="AY63" s="669"/>
      <c r="AZ63" s="669"/>
      <c r="BA63" s="669">
        <v>59.48</v>
      </c>
      <c r="BB63" s="669">
        <f t="shared" ref="BB63" si="53">BB27</f>
        <v>59.48</v>
      </c>
      <c r="BC63" s="633"/>
      <c r="BD63" s="633"/>
      <c r="BE63" s="669"/>
      <c r="BF63" s="669"/>
      <c r="BG63" s="669"/>
      <c r="BH63" s="669"/>
      <c r="BI63" s="669">
        <v>100.47999999999999</v>
      </c>
      <c r="BJ63" s="669">
        <f t="shared" ref="BJ63" si="54">BJ27</f>
        <v>100.47999999999999</v>
      </c>
      <c r="BK63" s="633"/>
      <c r="BL63" s="633"/>
      <c r="BM63" s="669"/>
      <c r="BN63" s="669"/>
      <c r="BO63" s="669"/>
      <c r="BP63" s="669"/>
      <c r="BQ63" s="669">
        <f t="shared" ref="BQ63:BR63" si="55">BQ27</f>
        <v>48.44</v>
      </c>
      <c r="BR63" s="669">
        <f t="shared" si="55"/>
        <v>53.46</v>
      </c>
      <c r="BS63" s="633"/>
      <c r="BT63" s="633"/>
      <c r="BU63" s="669"/>
      <c r="BV63" s="669"/>
      <c r="BW63" s="669"/>
      <c r="BX63" s="669"/>
      <c r="BY63" s="669">
        <f t="shared" ref="BY63:BZ63" si="56">BY27</f>
        <v>39</v>
      </c>
      <c r="BZ63" s="669">
        <f t="shared" si="56"/>
        <v>54.971864999999994</v>
      </c>
      <c r="CA63" s="633"/>
      <c r="CB63" s="633"/>
      <c r="CC63" s="669"/>
      <c r="CD63" s="669"/>
      <c r="CE63" s="669"/>
      <c r="CF63" s="669"/>
      <c r="CG63" s="669">
        <f t="shared" ref="CG63:CH63" si="57">CG27</f>
        <v>40</v>
      </c>
      <c r="CH63" s="669">
        <f t="shared" si="57"/>
        <v>43.75</v>
      </c>
      <c r="CI63" s="633"/>
      <c r="CJ63" s="633"/>
      <c r="CK63" s="669"/>
      <c r="CL63" s="669"/>
      <c r="CM63" s="669"/>
      <c r="CN63" s="669"/>
      <c r="CO63" s="669">
        <f t="shared" ref="CO63:CP63" si="58">CO27</f>
        <v>40.32</v>
      </c>
      <c r="CP63" s="669">
        <f t="shared" si="58"/>
        <v>112.31</v>
      </c>
      <c r="CQ63" s="633"/>
      <c r="CR63" s="633"/>
      <c r="CS63" s="669"/>
      <c r="CT63" s="669"/>
      <c r="CU63" s="669"/>
      <c r="CV63" s="669"/>
      <c r="CW63" s="669">
        <f t="shared" ref="CW63:CX63" si="59">CW27</f>
        <v>61.93</v>
      </c>
      <c r="CX63" s="669">
        <f t="shared" si="59"/>
        <v>0</v>
      </c>
      <c r="CY63" s="633"/>
      <c r="CZ63" s="633"/>
      <c r="DA63" s="670"/>
      <c r="DB63" s="670"/>
      <c r="DC63" s="670"/>
      <c r="DD63" s="670"/>
      <c r="DE63" s="131">
        <f t="shared" ref="DE63:DE66" si="60">M63+U63+AC63+AK63+AS63+BA63+BI63+BQ63+BY63+CG63+CO63+CW63</f>
        <v>588.88999999999987</v>
      </c>
      <c r="DH63" s="672"/>
    </row>
    <row r="64" spans="1:112" s="671" customFormat="1">
      <c r="A64" s="599"/>
      <c r="B64" s="604" t="s">
        <v>485</v>
      </c>
      <c r="C64" s="601">
        <f>C57</f>
        <v>3503.8900000000003</v>
      </c>
      <c r="D64" s="601">
        <f t="shared" ref="D64:H64" si="61">D57</f>
        <v>3815.0400000000004</v>
      </c>
      <c r="E64" s="601"/>
      <c r="F64" s="633"/>
      <c r="G64" s="633"/>
      <c r="H64" s="601">
        <f t="shared" si="61"/>
        <v>163.25</v>
      </c>
      <c r="I64" s="669"/>
      <c r="J64" s="669"/>
      <c r="K64" s="669"/>
      <c r="L64" s="669"/>
      <c r="M64" s="669">
        <v>0.02</v>
      </c>
      <c r="N64" s="669">
        <f t="shared" ref="N64" si="62">N57</f>
        <v>0.02</v>
      </c>
      <c r="O64" s="633"/>
      <c r="P64" s="633"/>
      <c r="Q64" s="669"/>
      <c r="R64" s="669"/>
      <c r="S64" s="669"/>
      <c r="T64" s="669"/>
      <c r="U64" s="669">
        <v>0</v>
      </c>
      <c r="V64" s="669">
        <f t="shared" ref="V64" si="63">V57</f>
        <v>0</v>
      </c>
      <c r="W64" s="633"/>
      <c r="X64" s="633"/>
      <c r="Y64" s="669"/>
      <c r="Z64" s="669"/>
      <c r="AA64" s="669"/>
      <c r="AB64" s="669"/>
      <c r="AC64" s="669">
        <v>0.44</v>
      </c>
      <c r="AD64" s="669">
        <f t="shared" ref="AD64" si="64">AD57</f>
        <v>0.44</v>
      </c>
      <c r="AE64" s="633"/>
      <c r="AF64" s="633"/>
      <c r="AG64" s="669"/>
      <c r="AH64" s="669"/>
      <c r="AI64" s="669"/>
      <c r="AJ64" s="669"/>
      <c r="AK64" s="669">
        <v>1.1100000000000001</v>
      </c>
      <c r="AL64" s="669">
        <f t="shared" ref="AL64" si="65">AL57</f>
        <v>1.1100000000000001</v>
      </c>
      <c r="AM64" s="633"/>
      <c r="AN64" s="633"/>
      <c r="AO64" s="669"/>
      <c r="AP64" s="669"/>
      <c r="AQ64" s="669"/>
      <c r="AR64" s="669"/>
      <c r="AS64" s="669">
        <v>0.16</v>
      </c>
      <c r="AT64" s="669">
        <f t="shared" ref="AT64" si="66">AT57</f>
        <v>0.16</v>
      </c>
      <c r="AU64" s="633"/>
      <c r="AV64" s="633"/>
      <c r="AW64" s="669"/>
      <c r="AX64" s="669"/>
      <c r="AY64" s="669"/>
      <c r="AZ64" s="669"/>
      <c r="BA64" s="669">
        <v>0.26</v>
      </c>
      <c r="BB64" s="669">
        <f t="shared" ref="BB64" si="67">BB57</f>
        <v>0.26</v>
      </c>
      <c r="BC64" s="633"/>
      <c r="BD64" s="633"/>
      <c r="BE64" s="669"/>
      <c r="BF64" s="669"/>
      <c r="BG64" s="669"/>
      <c r="BH64" s="669"/>
      <c r="BI64" s="669">
        <v>0</v>
      </c>
      <c r="BJ64" s="669">
        <f t="shared" ref="BJ64" si="68">BJ57</f>
        <v>0</v>
      </c>
      <c r="BK64" s="633"/>
      <c r="BL64" s="633"/>
      <c r="BM64" s="669"/>
      <c r="BN64" s="669"/>
      <c r="BO64" s="669"/>
      <c r="BP64" s="669"/>
      <c r="BQ64" s="669">
        <f t="shared" ref="BQ64:BR64" si="69">BQ57</f>
        <v>0.1</v>
      </c>
      <c r="BR64" s="669">
        <f t="shared" si="69"/>
        <v>1.8199999999999998</v>
      </c>
      <c r="BS64" s="633"/>
      <c r="BT64" s="633"/>
      <c r="BU64" s="669"/>
      <c r="BV64" s="669"/>
      <c r="BW64" s="669"/>
      <c r="BX64" s="669"/>
      <c r="BY64" s="669">
        <f t="shared" ref="BY64:BZ64" si="70">BY57</f>
        <v>50</v>
      </c>
      <c r="BZ64" s="669">
        <f t="shared" si="70"/>
        <v>0</v>
      </c>
      <c r="CA64" s="633"/>
      <c r="CB64" s="633"/>
      <c r="CC64" s="669"/>
      <c r="CD64" s="669"/>
      <c r="CE64" s="669"/>
      <c r="CF64" s="669"/>
      <c r="CG64" s="669">
        <f t="shared" ref="CG64:CH64" si="71">CG57</f>
        <v>30</v>
      </c>
      <c r="CH64" s="669">
        <f t="shared" si="71"/>
        <v>48.26</v>
      </c>
      <c r="CI64" s="633"/>
      <c r="CJ64" s="633"/>
      <c r="CK64" s="669"/>
      <c r="CL64" s="669"/>
      <c r="CM64" s="669"/>
      <c r="CN64" s="669"/>
      <c r="CO64" s="669">
        <f t="shared" ref="CO64:CP64" si="72">CO57</f>
        <v>19.68</v>
      </c>
      <c r="CP64" s="669">
        <f t="shared" si="72"/>
        <v>0</v>
      </c>
      <c r="CQ64" s="633"/>
      <c r="CR64" s="633"/>
      <c r="CS64" s="669"/>
      <c r="CT64" s="669"/>
      <c r="CU64" s="669"/>
      <c r="CV64" s="669"/>
      <c r="CW64" s="669">
        <f t="shared" ref="CW64:CX64" si="73">CW57</f>
        <v>0</v>
      </c>
      <c r="CX64" s="669">
        <f t="shared" si="73"/>
        <v>0</v>
      </c>
      <c r="CY64" s="633"/>
      <c r="CZ64" s="633"/>
      <c r="DA64" s="670"/>
      <c r="DB64" s="670"/>
      <c r="DC64" s="670"/>
      <c r="DD64" s="670"/>
      <c r="DE64" s="131">
        <f t="shared" si="60"/>
        <v>101.77000000000001</v>
      </c>
      <c r="DH64" s="672"/>
    </row>
    <row r="65" spans="1:112" s="671" customFormat="1">
      <c r="A65" s="599"/>
      <c r="B65" s="604" t="s">
        <v>685</v>
      </c>
      <c r="C65" s="601"/>
      <c r="D65" s="601"/>
      <c r="E65" s="601"/>
      <c r="F65" s="633"/>
      <c r="G65" s="633"/>
      <c r="H65" s="601">
        <f>H61</f>
        <v>210.1</v>
      </c>
      <c r="I65" s="669"/>
      <c r="J65" s="669"/>
      <c r="K65" s="669"/>
      <c r="L65" s="669"/>
      <c r="M65" s="669">
        <v>5.8</v>
      </c>
      <c r="N65" s="669">
        <f>N61</f>
        <v>5.8</v>
      </c>
      <c r="O65" s="633"/>
      <c r="P65" s="633"/>
      <c r="Q65" s="669"/>
      <c r="R65" s="669"/>
      <c r="S65" s="669"/>
      <c r="T65" s="669"/>
      <c r="U65" s="669">
        <v>10.81</v>
      </c>
      <c r="V65" s="669">
        <f>V61</f>
        <v>10.81</v>
      </c>
      <c r="W65" s="633"/>
      <c r="X65" s="633"/>
      <c r="Y65" s="669"/>
      <c r="Z65" s="669"/>
      <c r="AA65" s="669"/>
      <c r="AB65" s="669"/>
      <c r="AC65" s="669">
        <v>13.61</v>
      </c>
      <c r="AD65" s="669">
        <f>AD61</f>
        <v>13.61</v>
      </c>
      <c r="AE65" s="633"/>
      <c r="AF65" s="633"/>
      <c r="AG65" s="669"/>
      <c r="AH65" s="669"/>
      <c r="AI65" s="669"/>
      <c r="AJ65" s="669"/>
      <c r="AK65" s="669">
        <v>5.2</v>
      </c>
      <c r="AL65" s="669">
        <f>AL61</f>
        <v>5.2</v>
      </c>
      <c r="AM65" s="633"/>
      <c r="AN65" s="633"/>
      <c r="AO65" s="669"/>
      <c r="AP65" s="669"/>
      <c r="AQ65" s="669"/>
      <c r="AR65" s="669"/>
      <c r="AS65" s="669">
        <v>10.1</v>
      </c>
      <c r="AT65" s="669">
        <f>AT61</f>
        <v>10.1</v>
      </c>
      <c r="AU65" s="633"/>
      <c r="AV65" s="633"/>
      <c r="AW65" s="669"/>
      <c r="AX65" s="669"/>
      <c r="AY65" s="669"/>
      <c r="AZ65" s="669"/>
      <c r="BA65" s="669">
        <v>15.5</v>
      </c>
      <c r="BB65" s="669">
        <f>BB61</f>
        <v>15.5</v>
      </c>
      <c r="BC65" s="633"/>
      <c r="BD65" s="633"/>
      <c r="BE65" s="669"/>
      <c r="BF65" s="669"/>
      <c r="BG65" s="669"/>
      <c r="BH65" s="669"/>
      <c r="BI65" s="669">
        <v>10</v>
      </c>
      <c r="BJ65" s="669">
        <f>BJ61</f>
        <v>10</v>
      </c>
      <c r="BK65" s="633"/>
      <c r="BL65" s="633"/>
      <c r="BM65" s="669"/>
      <c r="BN65" s="669"/>
      <c r="BO65" s="669"/>
      <c r="BP65" s="669"/>
      <c r="BQ65" s="669">
        <f>BQ61</f>
        <v>70.56</v>
      </c>
      <c r="BR65" s="669">
        <f>BR61</f>
        <v>63.82</v>
      </c>
      <c r="BS65" s="633"/>
      <c r="BT65" s="633"/>
      <c r="BU65" s="669"/>
      <c r="BV65" s="669"/>
      <c r="BW65" s="669"/>
      <c r="BX65" s="669"/>
      <c r="BY65" s="669">
        <f>BY61</f>
        <v>25</v>
      </c>
      <c r="BZ65" s="669">
        <f>BZ61</f>
        <v>59.23</v>
      </c>
      <c r="CA65" s="633"/>
      <c r="CB65" s="633"/>
      <c r="CC65" s="669"/>
      <c r="CD65" s="669"/>
      <c r="CE65" s="669"/>
      <c r="CF65" s="669"/>
      <c r="CG65" s="669">
        <f>CG61</f>
        <v>40</v>
      </c>
      <c r="CH65" s="669">
        <f>CH61</f>
        <v>18.09</v>
      </c>
      <c r="CI65" s="633"/>
      <c r="CJ65" s="633"/>
      <c r="CK65" s="669"/>
      <c r="CL65" s="669"/>
      <c r="CM65" s="669"/>
      <c r="CN65" s="669"/>
      <c r="CO65" s="669">
        <f>CO61</f>
        <v>40</v>
      </c>
      <c r="CP65" s="669">
        <f>CP61</f>
        <v>20.5</v>
      </c>
      <c r="CQ65" s="633"/>
      <c r="CR65" s="633"/>
      <c r="CS65" s="669"/>
      <c r="CT65" s="669"/>
      <c r="CU65" s="669"/>
      <c r="CV65" s="669"/>
      <c r="CW65" s="669">
        <f>CW61</f>
        <v>43.42</v>
      </c>
      <c r="CX65" s="669">
        <f>CX61</f>
        <v>0</v>
      </c>
      <c r="CY65" s="633"/>
      <c r="CZ65" s="633"/>
      <c r="DA65" s="670"/>
      <c r="DB65" s="670"/>
      <c r="DC65" s="670"/>
      <c r="DD65" s="670"/>
      <c r="DE65" s="131">
        <f t="shared" si="60"/>
        <v>290</v>
      </c>
      <c r="DH65" s="672"/>
    </row>
    <row r="66" spans="1:112" s="671" customFormat="1">
      <c r="A66" s="599"/>
      <c r="B66" s="604" t="s">
        <v>617</v>
      </c>
      <c r="C66" s="601"/>
      <c r="D66" s="601"/>
      <c r="E66" s="601"/>
      <c r="F66" s="633"/>
      <c r="G66" s="633"/>
      <c r="H66" s="601">
        <f t="shared" ref="H66" si="74">SUM(H63:H65)</f>
        <v>1063</v>
      </c>
      <c r="I66" s="669">
        <f>M66*0.2</f>
        <v>10.06</v>
      </c>
      <c r="J66" s="669">
        <v>17</v>
      </c>
      <c r="K66" s="669">
        <f>N66*0.8</f>
        <v>40.24</v>
      </c>
      <c r="L66" s="601">
        <f>N66-J66</f>
        <v>33.299999999999997</v>
      </c>
      <c r="M66" s="669">
        <v>50.3</v>
      </c>
      <c r="N66" s="601">
        <f>SUM(N63:N65)+N67</f>
        <v>50.3</v>
      </c>
      <c r="O66" s="633"/>
      <c r="P66" s="633"/>
      <c r="Q66" s="669">
        <f>U66*0.2</f>
        <v>14.141999999999999</v>
      </c>
      <c r="R66" s="669">
        <v>0</v>
      </c>
      <c r="S66" s="669">
        <f>U66*0.8</f>
        <v>56.567999999999998</v>
      </c>
      <c r="T66" s="601">
        <f>V66-R66</f>
        <v>70.709999999999994</v>
      </c>
      <c r="U66" s="669">
        <v>70.709999999999994</v>
      </c>
      <c r="V66" s="669">
        <f>SUM(V63:V65)+V67</f>
        <v>70.709999999999994</v>
      </c>
      <c r="W66" s="633"/>
      <c r="X66" s="633"/>
      <c r="Y66" s="669">
        <f>AC66*0.2</f>
        <v>16.639999999999997</v>
      </c>
      <c r="Z66" s="669">
        <v>28</v>
      </c>
      <c r="AA66" s="669">
        <f>AC66*0.8</f>
        <v>66.559999999999988</v>
      </c>
      <c r="AB66" s="601">
        <f>AD66-Z66</f>
        <v>55.199999999999989</v>
      </c>
      <c r="AC66" s="669">
        <v>83.199999999999989</v>
      </c>
      <c r="AD66" s="601">
        <f>SUM(AD63:AD65)+AD67</f>
        <v>83.199999999999989</v>
      </c>
      <c r="AE66" s="633"/>
      <c r="AF66" s="633"/>
      <c r="AG66" s="669">
        <f>AK66*0.2</f>
        <v>18.044</v>
      </c>
      <c r="AH66" s="669">
        <v>0</v>
      </c>
      <c r="AI66" s="669">
        <f>AK66*0.8</f>
        <v>72.176000000000002</v>
      </c>
      <c r="AJ66" s="601">
        <f>AL66-AH66</f>
        <v>90.22</v>
      </c>
      <c r="AK66" s="669">
        <v>90.22</v>
      </c>
      <c r="AL66" s="669">
        <f>SUM(AL63:AL65)+AL67</f>
        <v>90.22</v>
      </c>
      <c r="AM66" s="633"/>
      <c r="AN66" s="633"/>
      <c r="AO66" s="669">
        <f>AS66*0.2</f>
        <v>16.880000000000003</v>
      </c>
      <c r="AP66" s="669">
        <v>0</v>
      </c>
      <c r="AQ66" s="669">
        <f>AS66*0.8</f>
        <v>67.52000000000001</v>
      </c>
      <c r="AR66" s="601">
        <f>AT66-AP66</f>
        <v>84.4</v>
      </c>
      <c r="AS66" s="669">
        <v>84.4</v>
      </c>
      <c r="AT66" s="601">
        <f>SUM(AT63:AT65)+AT67</f>
        <v>84.4</v>
      </c>
      <c r="AU66" s="633"/>
      <c r="AV66" s="633"/>
      <c r="AW66" s="669">
        <f>BA66*0.2</f>
        <v>15.048</v>
      </c>
      <c r="AX66" s="669">
        <v>0</v>
      </c>
      <c r="AY66" s="669">
        <f>BA66*0.8</f>
        <v>60.192</v>
      </c>
      <c r="AZ66" s="601">
        <f>BB66-AX66</f>
        <v>75.239999999999995</v>
      </c>
      <c r="BA66" s="669">
        <v>75.239999999999995</v>
      </c>
      <c r="BB66" s="669">
        <f t="shared" ref="BB66" si="75">SUM(BB63:BB65)</f>
        <v>75.239999999999995</v>
      </c>
      <c r="BC66" s="633"/>
      <c r="BD66" s="633"/>
      <c r="BE66" s="669">
        <f>BI66*0.2</f>
        <v>22.096</v>
      </c>
      <c r="BF66" s="669">
        <v>0</v>
      </c>
      <c r="BG66" s="669">
        <f>BI66*0.8</f>
        <v>88.384</v>
      </c>
      <c r="BH66" s="601">
        <f>BJ66-BF66</f>
        <v>110.47999999999999</v>
      </c>
      <c r="BI66" s="669">
        <v>110.47999999999999</v>
      </c>
      <c r="BJ66" s="669">
        <f t="shared" ref="BJ66" si="76">SUM(BJ63:BJ65)</f>
        <v>110.47999999999999</v>
      </c>
      <c r="BK66" s="633"/>
      <c r="BL66" s="633"/>
      <c r="BM66" s="669">
        <f>BQ66*0.2</f>
        <v>23.82</v>
      </c>
      <c r="BN66" s="669">
        <v>0</v>
      </c>
      <c r="BO66" s="669">
        <f>BQ66*0.8</f>
        <v>95.28</v>
      </c>
      <c r="BP66" s="601">
        <f>BR66-BN66</f>
        <v>119.1</v>
      </c>
      <c r="BQ66" s="669">
        <f t="shared" ref="BQ66:BR66" si="77">SUM(BQ63:BQ65)</f>
        <v>119.1</v>
      </c>
      <c r="BR66" s="669">
        <f t="shared" si="77"/>
        <v>119.1</v>
      </c>
      <c r="BS66" s="633"/>
      <c r="BT66" s="633"/>
      <c r="BU66" s="669">
        <f>BY66*0.2</f>
        <v>22.8</v>
      </c>
      <c r="BV66" s="669">
        <v>0</v>
      </c>
      <c r="BW66" s="669">
        <f>BY66*0.8</f>
        <v>91.2</v>
      </c>
      <c r="BX66" s="601">
        <f>BZ66-BV66</f>
        <v>114.201865</v>
      </c>
      <c r="BY66" s="669">
        <f t="shared" ref="BY66:BZ66" si="78">SUM(BY63:BY65)</f>
        <v>114</v>
      </c>
      <c r="BZ66" s="601">
        <f t="shared" si="78"/>
        <v>114.201865</v>
      </c>
      <c r="CA66" s="633"/>
      <c r="CB66" s="633"/>
      <c r="CC66" s="669">
        <f>CG66*0.2</f>
        <v>22</v>
      </c>
      <c r="CD66" s="669">
        <v>0</v>
      </c>
      <c r="CE66" s="669">
        <f>CG66*0.8</f>
        <v>88</v>
      </c>
      <c r="CF66" s="601">
        <f>CH66-CD66</f>
        <v>110.1</v>
      </c>
      <c r="CG66" s="669">
        <f t="shared" ref="CG66:CH66" si="79">SUM(CG63:CG65)</f>
        <v>110</v>
      </c>
      <c r="CH66" s="669">
        <f t="shared" si="79"/>
        <v>110.1</v>
      </c>
      <c r="CI66" s="633"/>
      <c r="CJ66" s="633"/>
      <c r="CK66" s="669">
        <f>CO66*0.2</f>
        <v>20</v>
      </c>
      <c r="CL66" s="669">
        <v>0</v>
      </c>
      <c r="CM66" s="669">
        <f>CO66*0.8</f>
        <v>80</v>
      </c>
      <c r="CN66" s="601">
        <f>CP66-CL66</f>
        <v>132.81</v>
      </c>
      <c r="CO66" s="669">
        <f t="shared" ref="CO66:CP66" si="80">SUM(CO63:CO65)</f>
        <v>100</v>
      </c>
      <c r="CP66" s="669">
        <f t="shared" si="80"/>
        <v>132.81</v>
      </c>
      <c r="CQ66" s="633"/>
      <c r="CR66" s="633"/>
      <c r="CS66" s="669">
        <f>CW66*0.2</f>
        <v>21.07</v>
      </c>
      <c r="CT66" s="669">
        <v>0</v>
      </c>
      <c r="CU66" s="669">
        <f>CW66*0.8</f>
        <v>84.28</v>
      </c>
      <c r="CV66" s="601">
        <f>CX66-CT66</f>
        <v>0</v>
      </c>
      <c r="CW66" s="669">
        <f t="shared" ref="CW66:CX66" si="81">SUM(CW63:CW65)</f>
        <v>105.35</v>
      </c>
      <c r="CX66" s="669">
        <f t="shared" si="81"/>
        <v>0</v>
      </c>
      <c r="CY66" s="633"/>
      <c r="CZ66" s="633"/>
      <c r="DA66" s="669"/>
      <c r="DB66" s="669"/>
      <c r="DC66" s="669"/>
      <c r="DD66" s="601"/>
      <c r="DE66" s="131">
        <f t="shared" si="60"/>
        <v>1113</v>
      </c>
      <c r="DH66" s="672"/>
    </row>
    <row r="67" spans="1:112">
      <c r="A67" s="121"/>
      <c r="M67" s="567" t="s">
        <v>759</v>
      </c>
      <c r="N67" s="577">
        <v>25.09</v>
      </c>
      <c r="U67" s="567" t="s">
        <v>759</v>
      </c>
      <c r="V67" s="577">
        <v>25.49</v>
      </c>
      <c r="AC67" s="567" t="s">
        <v>759</v>
      </c>
      <c r="AD67" s="577">
        <v>28.28</v>
      </c>
      <c r="AJ67" s="707" t="s">
        <v>759</v>
      </c>
      <c r="AK67" s="707"/>
      <c r="AL67" s="680">
        <v>23.25</v>
      </c>
      <c r="AM67" s="637"/>
      <c r="AN67" s="637"/>
      <c r="AR67" s="707" t="s">
        <v>759</v>
      </c>
      <c r="AS67" s="707"/>
      <c r="AT67" s="680">
        <v>30.23</v>
      </c>
      <c r="AU67" s="637"/>
      <c r="AV67" s="637"/>
      <c r="BA67" s="564"/>
      <c r="BB67" s="564"/>
      <c r="BC67" s="637"/>
      <c r="BD67" s="637"/>
      <c r="BI67" s="564"/>
      <c r="BJ67" s="564"/>
      <c r="BK67" s="637"/>
      <c r="BL67" s="637"/>
      <c r="BQ67" s="564"/>
      <c r="BR67" s="564"/>
      <c r="BS67" s="637"/>
      <c r="BT67" s="637"/>
      <c r="BY67" s="564"/>
      <c r="BZ67" s="564"/>
      <c r="CA67" s="637"/>
      <c r="CB67" s="637"/>
      <c r="CG67" s="564"/>
      <c r="CH67" s="564"/>
      <c r="CI67" s="637"/>
      <c r="CJ67" s="637"/>
      <c r="CO67" s="564"/>
      <c r="CP67" s="564"/>
      <c r="CQ67" s="637"/>
      <c r="CR67" s="637"/>
      <c r="CW67" s="564"/>
      <c r="CX67" s="564"/>
      <c r="CY67" s="637"/>
      <c r="CZ67" s="637"/>
      <c r="DA67" s="121"/>
      <c r="DB67" s="121"/>
      <c r="DC67" s="121"/>
      <c r="DD67" s="121"/>
    </row>
    <row r="68" spans="1:112">
      <c r="A68" s="121"/>
      <c r="AK68" s="564"/>
      <c r="AL68" s="564"/>
      <c r="AM68" s="637"/>
      <c r="AN68" s="637"/>
      <c r="AS68" s="564"/>
      <c r="AT68" s="564"/>
      <c r="AU68" s="637"/>
      <c r="AV68" s="637"/>
      <c r="BA68" s="564"/>
      <c r="BB68" s="564"/>
      <c r="BC68" s="637"/>
      <c r="BD68" s="637"/>
      <c r="BI68" s="564"/>
      <c r="BJ68" s="564"/>
      <c r="BK68" s="637"/>
      <c r="BL68" s="637"/>
      <c r="BQ68" s="564"/>
      <c r="BR68" s="564"/>
      <c r="BS68" s="637"/>
      <c r="BT68" s="637"/>
      <c r="BY68" s="564"/>
      <c r="BZ68" s="564"/>
      <c r="CA68" s="637"/>
      <c r="CB68" s="637"/>
      <c r="CG68" s="564"/>
      <c r="CH68" s="564"/>
      <c r="CI68" s="637"/>
      <c r="CJ68" s="637"/>
      <c r="CO68" s="564"/>
      <c r="CP68" s="564"/>
      <c r="CQ68" s="637"/>
      <c r="CR68" s="637"/>
      <c r="CW68" s="564"/>
      <c r="CX68" s="564"/>
      <c r="CY68" s="637"/>
      <c r="CZ68" s="637"/>
      <c r="DA68" s="121"/>
      <c r="DB68" s="121"/>
      <c r="DC68" s="121"/>
      <c r="DD68" s="121"/>
    </row>
    <row r="69" spans="1:112" ht="20.25" customHeight="1">
      <c r="B69" s="523" t="s">
        <v>699</v>
      </c>
      <c r="AK69" s="564"/>
      <c r="AL69" s="564"/>
      <c r="AM69" s="637"/>
      <c r="AN69" s="637"/>
      <c r="AS69" s="564"/>
      <c r="AT69" s="564"/>
      <c r="AU69" s="637"/>
      <c r="AV69" s="637"/>
      <c r="BA69" s="564"/>
      <c r="BB69" s="564"/>
      <c r="BC69" s="637"/>
      <c r="BD69" s="637"/>
      <c r="BI69" s="564"/>
      <c r="BJ69" s="564"/>
      <c r="BK69" s="637"/>
      <c r="BL69" s="637"/>
      <c r="BQ69" s="564"/>
      <c r="BR69" s="564"/>
      <c r="BS69" s="637"/>
      <c r="BT69" s="637"/>
      <c r="BY69" s="564"/>
      <c r="BZ69" s="564"/>
      <c r="CA69" s="637"/>
      <c r="CB69" s="637"/>
      <c r="CG69" s="564"/>
      <c r="CH69" s="564"/>
      <c r="CI69" s="637"/>
      <c r="CJ69" s="637"/>
      <c r="CO69" s="564"/>
      <c r="CP69" s="564"/>
      <c r="CQ69" s="637"/>
      <c r="CR69" s="637"/>
      <c r="CW69" s="564"/>
      <c r="CX69" s="564"/>
      <c r="CY69" s="637"/>
      <c r="CZ69" s="637"/>
      <c r="DA69" s="121"/>
      <c r="DB69" s="121"/>
      <c r="DC69" s="121"/>
      <c r="DD69" s="121"/>
    </row>
    <row r="70" spans="1:112" ht="20.25" customHeight="1">
      <c r="B70" s="521" t="s">
        <v>700</v>
      </c>
      <c r="C70" s="565"/>
      <c r="D70" s="565"/>
      <c r="E70" s="565"/>
      <c r="AK70" s="564"/>
      <c r="AL70" s="564"/>
      <c r="AM70" s="637"/>
      <c r="AN70" s="637"/>
      <c r="AS70" s="564"/>
      <c r="AT70" s="564"/>
      <c r="AU70" s="637"/>
      <c r="AV70" s="637"/>
      <c r="BA70" s="564"/>
      <c r="BB70" s="564"/>
      <c r="BC70" s="637"/>
      <c r="BD70" s="637"/>
      <c r="BI70" s="564"/>
      <c r="BJ70" s="564"/>
      <c r="BK70" s="637"/>
      <c r="BL70" s="637"/>
      <c r="BQ70" s="564"/>
      <c r="BR70" s="564"/>
      <c r="BS70" s="637"/>
      <c r="BT70" s="637"/>
      <c r="BY70" s="564"/>
      <c r="BZ70" s="564"/>
      <c r="CA70" s="637"/>
      <c r="CB70" s="637"/>
      <c r="CG70" s="564"/>
      <c r="CH70" s="564"/>
      <c r="CI70" s="637"/>
      <c r="CJ70" s="637"/>
      <c r="CO70" s="564"/>
      <c r="CP70" s="564"/>
      <c r="CQ70" s="637"/>
      <c r="CR70" s="637"/>
      <c r="CW70" s="564"/>
      <c r="CX70" s="564"/>
      <c r="CY70" s="637"/>
      <c r="CZ70" s="637"/>
      <c r="DA70" s="121"/>
      <c r="DB70" s="121"/>
      <c r="DC70" s="121"/>
      <c r="DD70" s="121"/>
    </row>
    <row r="71" spans="1:112" ht="20.25" customHeight="1">
      <c r="B71" s="521" t="s">
        <v>701</v>
      </c>
      <c r="C71" s="565"/>
      <c r="D71" s="565"/>
      <c r="E71" s="565"/>
      <c r="AK71" s="564"/>
      <c r="AL71" s="564"/>
      <c r="AM71" s="637"/>
      <c r="AN71" s="637"/>
      <c r="AS71" s="564"/>
      <c r="AT71" s="564"/>
      <c r="AU71" s="637"/>
      <c r="AV71" s="637"/>
      <c r="BA71" s="564"/>
      <c r="BB71" s="564"/>
      <c r="BC71" s="637"/>
      <c r="BD71" s="637"/>
      <c r="BI71" s="564"/>
      <c r="BJ71" s="564"/>
      <c r="BK71" s="637"/>
      <c r="BL71" s="637"/>
      <c r="BQ71" s="564"/>
      <c r="BR71" s="564"/>
      <c r="BS71" s="637"/>
      <c r="BT71" s="637"/>
      <c r="BY71" s="564"/>
      <c r="BZ71" s="564"/>
      <c r="CA71" s="637"/>
      <c r="CB71" s="637"/>
      <c r="CG71" s="564"/>
      <c r="CH71" s="564"/>
      <c r="CI71" s="637"/>
      <c r="CJ71" s="637"/>
      <c r="CO71" s="564"/>
      <c r="CP71" s="564"/>
      <c r="CQ71" s="637"/>
      <c r="CR71" s="637"/>
      <c r="CW71" s="564"/>
      <c r="CX71" s="564"/>
      <c r="CY71" s="637"/>
      <c r="CZ71" s="637"/>
      <c r="DA71" s="121"/>
      <c r="DB71" s="121"/>
      <c r="DC71" s="121"/>
      <c r="DD71" s="121"/>
    </row>
    <row r="72" spans="1:112" ht="20.25" customHeight="1">
      <c r="B72" s="521" t="s">
        <v>702</v>
      </c>
      <c r="AK72" s="564"/>
      <c r="AL72" s="564"/>
      <c r="AM72" s="637"/>
      <c r="AN72" s="637"/>
      <c r="AS72" s="564"/>
      <c r="AT72" s="564"/>
      <c r="AU72" s="637"/>
      <c r="AV72" s="637"/>
      <c r="BA72" s="564"/>
      <c r="BB72" s="564"/>
      <c r="BC72" s="637"/>
      <c r="BD72" s="637"/>
      <c r="BI72" s="564"/>
      <c r="BJ72" s="564"/>
      <c r="BK72" s="637"/>
      <c r="BL72" s="637"/>
      <c r="BQ72" s="564"/>
      <c r="BR72" s="564"/>
      <c r="BS72" s="637"/>
      <c r="BT72" s="637"/>
      <c r="BY72" s="564"/>
      <c r="BZ72" s="564"/>
      <c r="CA72" s="637"/>
      <c r="CB72" s="637"/>
      <c r="CG72" s="564"/>
      <c r="CH72" s="564"/>
      <c r="CI72" s="637"/>
      <c r="CJ72" s="637"/>
      <c r="CO72" s="564"/>
      <c r="CP72" s="564"/>
      <c r="CQ72" s="637"/>
      <c r="CR72" s="637"/>
      <c r="CW72" s="564"/>
      <c r="CX72" s="564"/>
      <c r="CY72" s="637"/>
      <c r="CZ72" s="637"/>
      <c r="DA72" s="121"/>
      <c r="DB72" s="121"/>
      <c r="DC72" s="121"/>
      <c r="DD72" s="121"/>
    </row>
    <row r="73" spans="1:112">
      <c r="AK73" s="564"/>
      <c r="AL73" s="564"/>
      <c r="AM73" s="637"/>
      <c r="AN73" s="637"/>
      <c r="AS73" s="564"/>
      <c r="AT73" s="564"/>
      <c r="AU73" s="637"/>
      <c r="AV73" s="637"/>
      <c r="BA73" s="564"/>
      <c r="BB73" s="564"/>
      <c r="BC73" s="637"/>
      <c r="BD73" s="637"/>
      <c r="BI73" s="564"/>
      <c r="BJ73" s="564"/>
      <c r="BK73" s="637"/>
      <c r="BL73" s="637"/>
      <c r="BQ73" s="564"/>
      <c r="BR73" s="564"/>
      <c r="BS73" s="637"/>
      <c r="BT73" s="637"/>
      <c r="BY73" s="564"/>
      <c r="BZ73" s="564"/>
      <c r="CA73" s="637"/>
      <c r="CB73" s="637"/>
      <c r="CG73" s="564"/>
      <c r="CH73" s="564"/>
      <c r="CI73" s="637"/>
      <c r="CJ73" s="637"/>
      <c r="CO73" s="564"/>
      <c r="CP73" s="564"/>
      <c r="CQ73" s="637"/>
      <c r="CR73" s="637"/>
      <c r="CW73" s="564"/>
      <c r="CX73" s="564"/>
      <c r="CY73" s="637"/>
      <c r="CZ73" s="637"/>
      <c r="DA73" s="121"/>
      <c r="DB73" s="121"/>
      <c r="DC73" s="121"/>
      <c r="DD73" s="121"/>
    </row>
    <row r="74" spans="1:112">
      <c r="AK74" s="564"/>
      <c r="AL74" s="564"/>
      <c r="AM74" s="637"/>
      <c r="AN74" s="637"/>
      <c r="AS74" s="564"/>
      <c r="AT74" s="564"/>
      <c r="AU74" s="637"/>
      <c r="AV74" s="637"/>
      <c r="BA74" s="564"/>
      <c r="BB74" s="564"/>
      <c r="BC74" s="637"/>
      <c r="BD74" s="637"/>
      <c r="BI74" s="564"/>
      <c r="BJ74" s="564"/>
      <c r="BK74" s="637"/>
      <c r="BL74" s="637"/>
      <c r="BQ74" s="564"/>
      <c r="BR74" s="564"/>
      <c r="BS74" s="637"/>
      <c r="BT74" s="637"/>
      <c r="BY74" s="564"/>
      <c r="BZ74" s="564"/>
      <c r="CA74" s="637"/>
      <c r="CB74" s="637"/>
      <c r="CG74" s="564"/>
      <c r="CH74" s="564"/>
      <c r="CI74" s="637"/>
      <c r="CJ74" s="637"/>
      <c r="CO74" s="564"/>
      <c r="CP74" s="564"/>
      <c r="CQ74" s="637"/>
      <c r="CR74" s="637"/>
      <c r="CW74" s="564"/>
      <c r="CX74" s="564"/>
      <c r="CY74" s="637"/>
      <c r="CZ74" s="637"/>
      <c r="DA74" s="121"/>
      <c r="DB74" s="121"/>
      <c r="DC74" s="121"/>
      <c r="DD74" s="121"/>
    </row>
    <row r="75" spans="1:112">
      <c r="AK75" s="564"/>
      <c r="AL75" s="564"/>
      <c r="AM75" s="637"/>
      <c r="AN75" s="637"/>
      <c r="AS75" s="564"/>
      <c r="AT75" s="564"/>
      <c r="AU75" s="637"/>
      <c r="AV75" s="637"/>
      <c r="BA75" s="564"/>
      <c r="BB75" s="564"/>
      <c r="BC75" s="637"/>
      <c r="BD75" s="637"/>
      <c r="BI75" s="564"/>
      <c r="BJ75" s="564"/>
      <c r="BK75" s="637"/>
      <c r="BL75" s="637"/>
      <c r="BQ75" s="564"/>
      <c r="BR75" s="564"/>
      <c r="BS75" s="637"/>
      <c r="BT75" s="637"/>
      <c r="BY75" s="564"/>
      <c r="BZ75" s="564"/>
      <c r="CA75" s="637"/>
      <c r="CB75" s="637"/>
      <c r="CG75" s="564"/>
      <c r="CH75" s="564"/>
      <c r="CI75" s="637"/>
      <c r="CJ75" s="637"/>
      <c r="CO75" s="564"/>
      <c r="CP75" s="564"/>
      <c r="CQ75" s="637"/>
      <c r="CR75" s="637"/>
      <c r="CW75" s="564"/>
      <c r="CX75" s="564"/>
      <c r="CY75" s="637"/>
      <c r="CZ75" s="637"/>
      <c r="DA75" s="121"/>
      <c r="DB75" s="121"/>
      <c r="DC75" s="121"/>
      <c r="DD75" s="121"/>
    </row>
    <row r="76" spans="1:112">
      <c r="AK76" s="564"/>
      <c r="AL76" s="564"/>
      <c r="AM76" s="637"/>
      <c r="AN76" s="637"/>
      <c r="AS76" s="564"/>
      <c r="AT76" s="564"/>
      <c r="AU76" s="637"/>
      <c r="AV76" s="637"/>
      <c r="BA76" s="564"/>
      <c r="BB76" s="564"/>
      <c r="BC76" s="637"/>
      <c r="BD76" s="637"/>
      <c r="BI76" s="564"/>
      <c r="BJ76" s="564"/>
      <c r="BK76" s="637"/>
      <c r="BL76" s="637"/>
      <c r="BQ76" s="564"/>
      <c r="BR76" s="564"/>
      <c r="BS76" s="637"/>
      <c r="BT76" s="637"/>
      <c r="BY76" s="564"/>
      <c r="BZ76" s="564"/>
      <c r="CA76" s="637"/>
      <c r="CB76" s="637"/>
      <c r="CG76" s="564"/>
      <c r="CH76" s="564"/>
      <c r="CI76" s="637"/>
      <c r="CJ76" s="637"/>
      <c r="CO76" s="564"/>
      <c r="CP76" s="564"/>
      <c r="CQ76" s="637"/>
      <c r="CR76" s="637"/>
      <c r="CW76" s="564"/>
      <c r="CX76" s="564"/>
      <c r="CY76" s="637"/>
      <c r="CZ76" s="637"/>
      <c r="DA76" s="121"/>
      <c r="DB76" s="121"/>
      <c r="DC76" s="121"/>
      <c r="DD76" s="121"/>
    </row>
    <row r="77" spans="1:112">
      <c r="AK77" s="564"/>
      <c r="AL77" s="564"/>
      <c r="AM77" s="637"/>
      <c r="AN77" s="637"/>
      <c r="AS77" s="564"/>
      <c r="AT77" s="564"/>
      <c r="AU77" s="637"/>
      <c r="AV77" s="637"/>
      <c r="BA77" s="564"/>
      <c r="BB77" s="564"/>
      <c r="BC77" s="637"/>
      <c r="BD77" s="637"/>
      <c r="BI77" s="564"/>
      <c r="BJ77" s="564"/>
      <c r="BK77" s="637"/>
      <c r="BL77" s="637"/>
      <c r="BQ77" s="564"/>
      <c r="BR77" s="564"/>
      <c r="BS77" s="637"/>
      <c r="BT77" s="637"/>
      <c r="BY77" s="564"/>
      <c r="BZ77" s="564"/>
      <c r="CA77" s="637"/>
      <c r="CB77" s="637"/>
      <c r="CG77" s="564"/>
      <c r="CH77" s="564"/>
      <c r="CI77" s="637"/>
      <c r="CJ77" s="637"/>
      <c r="CO77" s="564"/>
      <c r="CP77" s="564"/>
      <c r="CQ77" s="637"/>
      <c r="CR77" s="637"/>
      <c r="CW77" s="564"/>
      <c r="CX77" s="564"/>
      <c r="CY77" s="637"/>
      <c r="CZ77" s="637"/>
      <c r="DA77" s="121"/>
      <c r="DB77" s="121"/>
      <c r="DC77" s="121"/>
      <c r="DD77" s="121"/>
    </row>
    <row r="78" spans="1:112">
      <c r="AK78" s="564"/>
      <c r="AL78" s="564"/>
      <c r="AM78" s="637"/>
      <c r="AN78" s="637"/>
      <c r="AS78" s="564"/>
      <c r="AT78" s="564"/>
      <c r="AU78" s="637"/>
      <c r="AV78" s="637"/>
      <c r="BA78" s="564"/>
      <c r="BB78" s="564"/>
      <c r="BC78" s="637"/>
      <c r="BD78" s="637"/>
      <c r="BI78" s="564"/>
      <c r="BJ78" s="564"/>
      <c r="BK78" s="637"/>
      <c r="BL78" s="637"/>
      <c r="BQ78" s="564"/>
      <c r="BR78" s="564"/>
      <c r="BS78" s="637"/>
      <c r="BT78" s="637"/>
      <c r="BY78" s="564"/>
      <c r="BZ78" s="564"/>
      <c r="CA78" s="637"/>
      <c r="CB78" s="637"/>
      <c r="CG78" s="564"/>
      <c r="CH78" s="564"/>
      <c r="CI78" s="637"/>
      <c r="CJ78" s="637"/>
      <c r="CO78" s="564"/>
      <c r="CP78" s="564"/>
      <c r="CQ78" s="637"/>
      <c r="CR78" s="637"/>
      <c r="CW78" s="564"/>
      <c r="CX78" s="564"/>
      <c r="CY78" s="637"/>
      <c r="CZ78" s="637"/>
      <c r="DA78" s="121"/>
      <c r="DB78" s="121"/>
      <c r="DC78" s="121"/>
      <c r="DD78" s="121"/>
    </row>
    <row r="79" spans="1:112">
      <c r="AK79" s="564"/>
      <c r="AL79" s="564"/>
      <c r="AM79" s="637"/>
      <c r="AN79" s="637"/>
      <c r="AS79" s="564"/>
      <c r="AT79" s="564"/>
      <c r="AU79" s="637"/>
      <c r="AV79" s="637"/>
      <c r="BA79" s="564"/>
      <c r="BB79" s="564"/>
      <c r="BC79" s="637"/>
      <c r="BD79" s="637"/>
      <c r="BI79" s="564"/>
      <c r="BJ79" s="564"/>
      <c r="BK79" s="637"/>
      <c r="BL79" s="637"/>
      <c r="BQ79" s="564"/>
      <c r="BR79" s="564"/>
      <c r="BS79" s="637"/>
      <c r="BT79" s="637"/>
      <c r="BY79" s="564"/>
      <c r="BZ79" s="564"/>
      <c r="CA79" s="637"/>
      <c r="CB79" s="637"/>
      <c r="CG79" s="564"/>
      <c r="CH79" s="564"/>
      <c r="CI79" s="637"/>
      <c r="CJ79" s="637"/>
      <c r="CO79" s="564"/>
      <c r="CP79" s="564"/>
      <c r="CQ79" s="637"/>
      <c r="CR79" s="637"/>
      <c r="CW79" s="564"/>
      <c r="CX79" s="564"/>
      <c r="CY79" s="637"/>
      <c r="CZ79" s="637"/>
      <c r="DA79" s="121"/>
      <c r="DB79" s="121"/>
      <c r="DC79" s="121"/>
      <c r="DD79" s="121"/>
    </row>
  </sheetData>
  <mergeCells count="20">
    <mergeCell ref="AJ67:AK67"/>
    <mergeCell ref="AR67:AS67"/>
    <mergeCell ref="BE4:BL4"/>
    <mergeCell ref="BM4:BT4"/>
    <mergeCell ref="BU4:CB4"/>
    <mergeCell ref="CC4:CJ4"/>
    <mergeCell ref="CK4:CR4"/>
    <mergeCell ref="CS4:CZ4"/>
    <mergeCell ref="I4:P4"/>
    <mergeCell ref="Q4:X4"/>
    <mergeCell ref="Y4:AF4"/>
    <mergeCell ref="AG4:AN4"/>
    <mergeCell ref="AO4:AV4"/>
    <mergeCell ref="AW4:BD4"/>
    <mergeCell ref="A1:H1"/>
    <mergeCell ref="A2:H2"/>
    <mergeCell ref="E4:E5"/>
    <mergeCell ref="F4:F5"/>
    <mergeCell ref="G4:G5"/>
    <mergeCell ref="H4:H5"/>
  </mergeCells>
  <printOptions horizontalCentered="1"/>
  <pageMargins left="0.23622047244094499" right="0.23622047244094499" top="0.62992125984252001" bottom="0.23622047244094499" header="0.23622047244094499" footer="0.23622047244094499"/>
  <pageSetup paperSize="9" scale="23" fitToHeight="2" orientation="portrait" r:id="rId1"/>
  <colBreaks count="1" manualBreakCount="1">
    <brk id="32" max="77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FF00"/>
  </sheetPr>
  <dimension ref="A1:DI79"/>
  <sheetViews>
    <sheetView view="pageBreakPreview" zoomScaleSheetLayoutView="100" workbookViewId="0">
      <pane xSplit="2" ySplit="5" topLeftCell="BN6" activePane="bottomRight" state="frozen"/>
      <selection activeCell="E49" sqref="E49"/>
      <selection pane="topRight" activeCell="E49" sqref="E49"/>
      <selection pane="bottomLeft" activeCell="E49" sqref="E49"/>
      <selection pane="bottomRight" activeCell="BN10" sqref="BN10"/>
    </sheetView>
  </sheetViews>
  <sheetFormatPr defaultColWidth="9.140625" defaultRowHeight="12.75"/>
  <cols>
    <col min="1" max="1" width="6.140625" style="500" customWidth="1"/>
    <col min="2" max="2" width="51.5703125" style="121" customWidth="1"/>
    <col min="3" max="4" width="14" style="564" customWidth="1"/>
    <col min="5" max="5" width="12.42578125" style="564" customWidth="1"/>
    <col min="6" max="7" width="12.42578125" style="637" customWidth="1"/>
    <col min="8" max="8" width="11.42578125" style="564" customWidth="1"/>
    <col min="9" max="9" width="8.42578125" style="564" customWidth="1"/>
    <col min="10" max="10" width="7.85546875" style="564" customWidth="1"/>
    <col min="11" max="11" width="8.140625" style="575" customWidth="1"/>
    <col min="12" max="12" width="8.140625" style="564" customWidth="1"/>
    <col min="13" max="13" width="9.5703125" style="567" customWidth="1"/>
    <col min="14" max="14" width="9.5703125" style="577" customWidth="1"/>
    <col min="15" max="15" width="11.140625" style="616" customWidth="1"/>
    <col min="16" max="16" width="11" style="617" customWidth="1"/>
    <col min="17" max="20" width="11" style="564" customWidth="1"/>
    <col min="21" max="21" width="11" style="567" customWidth="1"/>
    <col min="22" max="22" width="11" style="577" customWidth="1"/>
    <col min="23" max="23" width="11" style="616" customWidth="1"/>
    <col min="24" max="24" width="11" style="617" customWidth="1"/>
    <col min="25" max="28" width="9.140625" style="564" customWidth="1"/>
    <col min="29" max="29" width="9.42578125" style="567" customWidth="1"/>
    <col min="30" max="30" width="9.140625" style="577" customWidth="1"/>
    <col min="31" max="31" width="9.140625" style="616" customWidth="1"/>
    <col min="32" max="32" width="9.140625" style="617" customWidth="1"/>
    <col min="33" max="36" width="9.140625" style="564" customWidth="1"/>
    <col min="37" max="37" width="9.140625" style="567" customWidth="1"/>
    <col min="38" max="38" width="9.140625" style="577" customWidth="1"/>
    <col min="39" max="39" width="9.140625" style="616" customWidth="1"/>
    <col min="40" max="40" width="9.140625" style="617" customWidth="1"/>
    <col min="41" max="44" width="9.140625" style="564" customWidth="1"/>
    <col min="45" max="45" width="9.140625" style="567" customWidth="1"/>
    <col min="46" max="46" width="9.140625" style="577" customWidth="1"/>
    <col min="47" max="47" width="9.140625" style="616" customWidth="1"/>
    <col min="48" max="48" width="9.140625" style="617" customWidth="1"/>
    <col min="49" max="52" width="9.140625" style="564" customWidth="1"/>
    <col min="53" max="53" width="9.140625" style="567" customWidth="1"/>
    <col min="54" max="54" width="9.140625" style="577" customWidth="1"/>
    <col min="55" max="55" width="9.140625" style="616" customWidth="1"/>
    <col min="56" max="56" width="9.140625" style="617" customWidth="1"/>
    <col min="57" max="60" width="9.140625" style="564" customWidth="1"/>
    <col min="61" max="61" width="9.140625" style="567" customWidth="1"/>
    <col min="62" max="62" width="9.140625" style="577" customWidth="1"/>
    <col min="63" max="63" width="9.140625" style="616" customWidth="1"/>
    <col min="64" max="64" width="9.140625" style="617" customWidth="1"/>
    <col min="65" max="68" width="9.140625" style="564" customWidth="1"/>
    <col min="69" max="69" width="9.140625" style="567" customWidth="1"/>
    <col min="70" max="70" width="9.140625" style="577" customWidth="1"/>
    <col min="71" max="71" width="9.140625" style="616" customWidth="1"/>
    <col min="72" max="72" width="9.140625" style="617" customWidth="1"/>
    <col min="73" max="76" width="9.140625" style="564" customWidth="1"/>
    <col min="77" max="77" width="9.42578125" style="567" customWidth="1"/>
    <col min="78" max="78" width="9.140625" style="577" customWidth="1"/>
    <col min="79" max="79" width="9.140625" style="616" customWidth="1"/>
    <col min="80" max="80" width="9.140625" style="617" customWidth="1"/>
    <col min="81" max="84" width="9.140625" style="564" customWidth="1"/>
    <col min="85" max="85" width="9.140625" style="567" customWidth="1"/>
    <col min="86" max="86" width="9.140625" style="577" customWidth="1"/>
    <col min="87" max="87" width="9.140625" style="616" customWidth="1"/>
    <col min="88" max="88" width="9.140625" style="617" customWidth="1"/>
    <col min="89" max="92" width="9.140625" style="564" customWidth="1"/>
    <col min="93" max="93" width="9.140625" style="567" customWidth="1"/>
    <col min="94" max="94" width="9.140625" style="577" customWidth="1"/>
    <col min="95" max="95" width="9.140625" style="616" customWidth="1"/>
    <col min="96" max="96" width="9.140625" style="617" customWidth="1"/>
    <col min="97" max="100" width="9.140625" style="564" customWidth="1"/>
    <col min="101" max="101" width="9.42578125" style="567" customWidth="1"/>
    <col min="102" max="102" width="9.140625" style="577" customWidth="1"/>
    <col min="103" max="103" width="9.140625" style="616" customWidth="1"/>
    <col min="104" max="104" width="9.140625" style="617" customWidth="1"/>
    <col min="105" max="105" width="9.140625" style="587"/>
    <col min="106" max="106" width="9.140625" style="595"/>
    <col min="107" max="107" width="9.140625" style="587"/>
    <col min="108" max="108" width="9.140625" style="595"/>
    <col min="109" max="111" width="9.140625" style="121"/>
    <col min="112" max="112" width="9.140625" style="657"/>
    <col min="113" max="16384" width="9.140625" style="121"/>
  </cols>
  <sheetData>
    <row r="1" spans="1:113" s="504" customFormat="1">
      <c r="A1" s="690" t="s">
        <v>89</v>
      </c>
      <c r="B1" s="690"/>
      <c r="C1" s="690"/>
      <c r="D1" s="690"/>
      <c r="E1" s="690"/>
      <c r="F1" s="690"/>
      <c r="G1" s="691"/>
      <c r="H1" s="690"/>
      <c r="I1" s="551"/>
      <c r="J1" s="551"/>
      <c r="K1" s="574"/>
      <c r="L1" s="551"/>
      <c r="M1" s="566"/>
      <c r="N1" s="576"/>
      <c r="O1" s="614"/>
      <c r="P1" s="615"/>
      <c r="Q1" s="551"/>
      <c r="R1" s="551"/>
      <c r="S1" s="551"/>
      <c r="T1" s="551"/>
      <c r="U1" s="566"/>
      <c r="V1" s="576"/>
      <c r="W1" s="614"/>
      <c r="X1" s="615"/>
      <c r="Y1" s="551"/>
      <c r="Z1" s="551"/>
      <c r="AA1" s="551"/>
      <c r="AB1" s="551"/>
      <c r="AC1" s="566"/>
      <c r="AD1" s="576"/>
      <c r="AE1" s="614"/>
      <c r="AF1" s="615"/>
      <c r="AG1" s="551"/>
      <c r="AH1" s="551"/>
      <c r="AI1" s="551"/>
      <c r="AJ1" s="551"/>
      <c r="AK1" s="566"/>
      <c r="AL1" s="576"/>
      <c r="AM1" s="614"/>
      <c r="AN1" s="615"/>
      <c r="AO1" s="551"/>
      <c r="AP1" s="551"/>
      <c r="AQ1" s="551"/>
      <c r="AR1" s="551"/>
      <c r="AS1" s="566"/>
      <c r="AT1" s="576"/>
      <c r="AU1" s="614"/>
      <c r="AV1" s="615"/>
      <c r="AW1" s="551"/>
      <c r="AX1" s="551"/>
      <c r="AY1" s="551"/>
      <c r="AZ1" s="551"/>
      <c r="BA1" s="566"/>
      <c r="BB1" s="576"/>
      <c r="BC1" s="614"/>
      <c r="BD1" s="615"/>
      <c r="BE1" s="551"/>
      <c r="BF1" s="551"/>
      <c r="BG1" s="551"/>
      <c r="BH1" s="551"/>
      <c r="BI1" s="566"/>
      <c r="BJ1" s="576"/>
      <c r="BK1" s="614"/>
      <c r="BL1" s="615"/>
      <c r="BM1" s="551"/>
      <c r="BN1" s="551"/>
      <c r="BO1" s="551"/>
      <c r="BP1" s="551"/>
      <c r="BQ1" s="566"/>
      <c r="BR1" s="576"/>
      <c r="BS1" s="614"/>
      <c r="BT1" s="615"/>
      <c r="BU1" s="551"/>
      <c r="BV1" s="551"/>
      <c r="BW1" s="551"/>
      <c r="BX1" s="551"/>
      <c r="BY1" s="566"/>
      <c r="BZ1" s="576"/>
      <c r="CA1" s="614"/>
      <c r="CB1" s="615"/>
      <c r="CC1" s="551"/>
      <c r="CD1" s="551"/>
      <c r="CE1" s="551"/>
      <c r="CF1" s="551"/>
      <c r="CG1" s="566"/>
      <c r="CH1" s="576"/>
      <c r="CI1" s="614"/>
      <c r="CJ1" s="615"/>
      <c r="CK1" s="551"/>
      <c r="CL1" s="551"/>
      <c r="CM1" s="551"/>
      <c r="CN1" s="551"/>
      <c r="CO1" s="566"/>
      <c r="CP1" s="576"/>
      <c r="CQ1" s="614"/>
      <c r="CR1" s="615"/>
      <c r="CS1" s="551"/>
      <c r="CT1" s="551"/>
      <c r="CU1" s="551"/>
      <c r="CV1" s="551"/>
      <c r="CW1" s="566"/>
      <c r="CX1" s="576"/>
      <c r="CY1" s="614"/>
      <c r="CZ1" s="615"/>
      <c r="DA1" s="586"/>
      <c r="DB1" s="594"/>
      <c r="DC1" s="586"/>
      <c r="DD1" s="594"/>
      <c r="DH1" s="655"/>
    </row>
    <row r="2" spans="1:113" s="317" customFormat="1">
      <c r="A2" s="692" t="s">
        <v>698</v>
      </c>
      <c r="B2" s="692"/>
      <c r="C2" s="692"/>
      <c r="D2" s="692"/>
      <c r="E2" s="692"/>
      <c r="F2" s="692"/>
      <c r="G2" s="693"/>
      <c r="H2" s="692"/>
      <c r="I2" s="552"/>
      <c r="J2" s="552"/>
      <c r="K2" s="575"/>
      <c r="L2" s="552"/>
      <c r="M2" s="567"/>
      <c r="N2" s="577"/>
      <c r="O2" s="616"/>
      <c r="P2" s="617"/>
      <c r="Q2" s="552"/>
      <c r="R2" s="552"/>
      <c r="S2" s="552"/>
      <c r="T2" s="552"/>
      <c r="U2" s="567"/>
      <c r="V2" s="577"/>
      <c r="W2" s="616"/>
      <c r="X2" s="617"/>
      <c r="Y2" s="552"/>
      <c r="Z2" s="552"/>
      <c r="AA2" s="552"/>
      <c r="AB2" s="552"/>
      <c r="AC2" s="567"/>
      <c r="AD2" s="577"/>
      <c r="AE2" s="616"/>
      <c r="AF2" s="617"/>
      <c r="AG2" s="552"/>
      <c r="AH2" s="552"/>
      <c r="AI2" s="552"/>
      <c r="AJ2" s="552"/>
      <c r="AK2" s="567"/>
      <c r="AL2" s="577"/>
      <c r="AM2" s="616"/>
      <c r="AN2" s="617"/>
      <c r="AO2" s="552"/>
      <c r="AP2" s="552"/>
      <c r="AQ2" s="552"/>
      <c r="AR2" s="552"/>
      <c r="AS2" s="567"/>
      <c r="AT2" s="577"/>
      <c r="AU2" s="616"/>
      <c r="AV2" s="617"/>
      <c r="AW2" s="552"/>
      <c r="AX2" s="552"/>
      <c r="AY2" s="552"/>
      <c r="AZ2" s="552"/>
      <c r="BA2" s="567"/>
      <c r="BB2" s="577"/>
      <c r="BC2" s="616"/>
      <c r="BD2" s="617"/>
      <c r="BE2" s="552"/>
      <c r="BF2" s="552"/>
      <c r="BG2" s="552"/>
      <c r="BH2" s="552"/>
      <c r="BI2" s="567"/>
      <c r="BJ2" s="577"/>
      <c r="BK2" s="616"/>
      <c r="BL2" s="617"/>
      <c r="BM2" s="552"/>
      <c r="BN2" s="552"/>
      <c r="BO2" s="552"/>
      <c r="BP2" s="552"/>
      <c r="BQ2" s="567"/>
      <c r="BR2" s="577"/>
      <c r="BS2" s="616"/>
      <c r="BT2" s="617"/>
      <c r="BU2" s="552"/>
      <c r="BV2" s="552"/>
      <c r="BW2" s="552"/>
      <c r="BX2" s="552"/>
      <c r="BY2" s="567"/>
      <c r="BZ2" s="577"/>
      <c r="CA2" s="616"/>
      <c r="CB2" s="617"/>
      <c r="CC2" s="552"/>
      <c r="CD2" s="552"/>
      <c r="CE2" s="552"/>
      <c r="CF2" s="552"/>
      <c r="CG2" s="567"/>
      <c r="CH2" s="577"/>
      <c r="CI2" s="616"/>
      <c r="CJ2" s="617"/>
      <c r="CK2" s="552"/>
      <c r="CL2" s="552"/>
      <c r="CM2" s="552"/>
      <c r="CN2" s="552"/>
      <c r="CO2" s="567"/>
      <c r="CP2" s="577"/>
      <c r="CQ2" s="616"/>
      <c r="CR2" s="617"/>
      <c r="CS2" s="552"/>
      <c r="CT2" s="552"/>
      <c r="CU2" s="552"/>
      <c r="CV2" s="552"/>
      <c r="CW2" s="567"/>
      <c r="CX2" s="577"/>
      <c r="CY2" s="616"/>
      <c r="CZ2" s="617"/>
      <c r="DA2" s="587"/>
      <c r="DB2" s="595"/>
      <c r="DC2" s="587"/>
      <c r="DD2" s="595"/>
      <c r="DH2" s="656"/>
    </row>
    <row r="3" spans="1:113" s="317" customFormat="1">
      <c r="A3" s="496"/>
      <c r="B3" s="496"/>
      <c r="C3" s="496"/>
      <c r="D3" s="496"/>
      <c r="E3" s="496"/>
      <c r="F3" s="630"/>
      <c r="G3" s="630"/>
      <c r="H3" s="496" t="s">
        <v>458</v>
      </c>
      <c r="I3" s="552"/>
      <c r="J3" s="552"/>
      <c r="K3" s="575"/>
      <c r="L3" s="552"/>
      <c r="M3" s="567"/>
      <c r="N3" s="577"/>
      <c r="O3" s="616"/>
      <c r="P3" s="617"/>
      <c r="Q3" s="552"/>
      <c r="R3" s="552"/>
      <c r="S3" s="552"/>
      <c r="T3" s="552"/>
      <c r="U3" s="567"/>
      <c r="V3" s="577"/>
      <c r="W3" s="616"/>
      <c r="X3" s="617"/>
      <c r="Y3" s="552"/>
      <c r="Z3" s="552"/>
      <c r="AA3" s="552"/>
      <c r="AB3" s="552"/>
      <c r="AC3" s="567"/>
      <c r="AD3" s="577"/>
      <c r="AE3" s="616"/>
      <c r="AF3" s="617"/>
      <c r="AG3" s="552"/>
      <c r="AH3" s="552"/>
      <c r="AI3" s="552"/>
      <c r="AJ3" s="552"/>
      <c r="AK3" s="567"/>
      <c r="AL3" s="577"/>
      <c r="AM3" s="616"/>
      <c r="AN3" s="617"/>
      <c r="AO3" s="552"/>
      <c r="AP3" s="552"/>
      <c r="AQ3" s="552"/>
      <c r="AR3" s="552"/>
      <c r="AS3" s="567"/>
      <c r="AT3" s="577"/>
      <c r="AU3" s="616"/>
      <c r="AV3" s="617"/>
      <c r="AW3" s="552"/>
      <c r="AX3" s="552"/>
      <c r="AY3" s="552"/>
      <c r="AZ3" s="552"/>
      <c r="BA3" s="567"/>
      <c r="BB3" s="577"/>
      <c r="BC3" s="616"/>
      <c r="BD3" s="617"/>
      <c r="BE3" s="552"/>
      <c r="BF3" s="552"/>
      <c r="BG3" s="552"/>
      <c r="BH3" s="552"/>
      <c r="BI3" s="567"/>
      <c r="BJ3" s="577"/>
      <c r="BK3" s="616"/>
      <c r="BL3" s="617"/>
      <c r="BM3" s="552"/>
      <c r="BN3" s="552"/>
      <c r="BO3" s="552"/>
      <c r="BP3" s="552"/>
      <c r="BQ3" s="567"/>
      <c r="BR3" s="577"/>
      <c r="BS3" s="616"/>
      <c r="BT3" s="617"/>
      <c r="BU3" s="552"/>
      <c r="BV3" s="552"/>
      <c r="BW3" s="552"/>
      <c r="BX3" s="552"/>
      <c r="BY3" s="567"/>
      <c r="BZ3" s="577"/>
      <c r="CA3" s="616"/>
      <c r="CB3" s="617"/>
      <c r="CC3" s="552"/>
      <c r="CD3" s="552"/>
      <c r="CE3" s="552"/>
      <c r="CF3" s="552"/>
      <c r="CG3" s="567"/>
      <c r="CH3" s="577"/>
      <c r="CI3" s="616"/>
      <c r="CJ3" s="617"/>
      <c r="CK3" s="552"/>
      <c r="CL3" s="552"/>
      <c r="CM3" s="552"/>
      <c r="CN3" s="552"/>
      <c r="CO3" s="567"/>
      <c r="CP3" s="577"/>
      <c r="CQ3" s="616"/>
      <c r="CR3" s="617"/>
      <c r="CS3" s="552"/>
      <c r="CT3" s="552"/>
      <c r="CU3" s="552"/>
      <c r="CV3" s="552"/>
      <c r="CW3" s="567"/>
      <c r="CX3" s="577"/>
      <c r="CY3" s="616"/>
      <c r="CZ3" s="617"/>
      <c r="DA3" s="587"/>
      <c r="DB3" s="595"/>
      <c r="DC3" s="587"/>
      <c r="DD3" s="595"/>
      <c r="DH3" s="656"/>
    </row>
    <row r="4" spans="1:113" ht="51" customHeight="1">
      <c r="A4" s="232" t="s">
        <v>67</v>
      </c>
      <c r="B4" s="156" t="s">
        <v>49</v>
      </c>
      <c r="C4" s="548" t="s">
        <v>126</v>
      </c>
      <c r="D4" s="548" t="s">
        <v>401</v>
      </c>
      <c r="E4" s="694" t="s">
        <v>704</v>
      </c>
      <c r="F4" s="696" t="s">
        <v>705</v>
      </c>
      <c r="G4" s="696" t="s">
        <v>706</v>
      </c>
      <c r="H4" s="698" t="s">
        <v>707</v>
      </c>
      <c r="I4" s="700" t="s">
        <v>708</v>
      </c>
      <c r="J4" s="701"/>
      <c r="K4" s="701"/>
      <c r="L4" s="701"/>
      <c r="M4" s="702"/>
      <c r="N4" s="703"/>
      <c r="O4" s="704"/>
      <c r="P4" s="706"/>
      <c r="Q4" s="700" t="s">
        <v>709</v>
      </c>
      <c r="R4" s="701"/>
      <c r="S4" s="701"/>
      <c r="T4" s="701"/>
      <c r="U4" s="702"/>
      <c r="V4" s="703"/>
      <c r="W4" s="704"/>
      <c r="X4" s="706"/>
      <c r="Y4" s="700" t="s">
        <v>710</v>
      </c>
      <c r="Z4" s="701"/>
      <c r="AA4" s="701"/>
      <c r="AB4" s="701"/>
      <c r="AC4" s="702"/>
      <c r="AD4" s="703"/>
      <c r="AE4" s="704"/>
      <c r="AF4" s="705"/>
      <c r="AG4" s="700" t="s">
        <v>711</v>
      </c>
      <c r="AH4" s="701"/>
      <c r="AI4" s="701"/>
      <c r="AJ4" s="701"/>
      <c r="AK4" s="702"/>
      <c r="AL4" s="703"/>
      <c r="AM4" s="704"/>
      <c r="AN4" s="705"/>
      <c r="AO4" s="700" t="s">
        <v>712</v>
      </c>
      <c r="AP4" s="701"/>
      <c r="AQ4" s="701"/>
      <c r="AR4" s="701"/>
      <c r="AS4" s="702"/>
      <c r="AT4" s="703"/>
      <c r="AU4" s="704"/>
      <c r="AV4" s="705"/>
      <c r="AW4" s="700" t="s">
        <v>713</v>
      </c>
      <c r="AX4" s="701"/>
      <c r="AY4" s="701"/>
      <c r="AZ4" s="701"/>
      <c r="BA4" s="702"/>
      <c r="BB4" s="703"/>
      <c r="BC4" s="704"/>
      <c r="BD4" s="705"/>
      <c r="BE4" s="700" t="s">
        <v>714</v>
      </c>
      <c r="BF4" s="701"/>
      <c r="BG4" s="701"/>
      <c r="BH4" s="701"/>
      <c r="BI4" s="702"/>
      <c r="BJ4" s="703"/>
      <c r="BK4" s="704"/>
      <c r="BL4" s="705"/>
      <c r="BM4" s="700" t="s">
        <v>715</v>
      </c>
      <c r="BN4" s="701"/>
      <c r="BO4" s="701"/>
      <c r="BP4" s="701"/>
      <c r="BQ4" s="702"/>
      <c r="BR4" s="703"/>
      <c r="BS4" s="704"/>
      <c r="BT4" s="705"/>
      <c r="BU4" s="700" t="s">
        <v>716</v>
      </c>
      <c r="BV4" s="701"/>
      <c r="BW4" s="701"/>
      <c r="BX4" s="701"/>
      <c r="BY4" s="702"/>
      <c r="BZ4" s="703"/>
      <c r="CA4" s="704"/>
      <c r="CB4" s="705"/>
      <c r="CC4" s="700" t="s">
        <v>717</v>
      </c>
      <c r="CD4" s="701"/>
      <c r="CE4" s="701"/>
      <c r="CF4" s="701"/>
      <c r="CG4" s="702"/>
      <c r="CH4" s="703"/>
      <c r="CI4" s="704"/>
      <c r="CJ4" s="705"/>
      <c r="CK4" s="700" t="s">
        <v>718</v>
      </c>
      <c r="CL4" s="701"/>
      <c r="CM4" s="701"/>
      <c r="CN4" s="701"/>
      <c r="CO4" s="702"/>
      <c r="CP4" s="703"/>
      <c r="CQ4" s="704"/>
      <c r="CR4" s="705"/>
      <c r="CS4" s="700" t="s">
        <v>719</v>
      </c>
      <c r="CT4" s="701"/>
      <c r="CU4" s="701"/>
      <c r="CV4" s="701"/>
      <c r="CW4" s="702"/>
      <c r="CX4" s="703"/>
      <c r="CY4" s="704"/>
      <c r="CZ4" s="705"/>
    </row>
    <row r="5" spans="1:113" ht="35.25" customHeight="1">
      <c r="A5" s="211"/>
      <c r="B5" s="122"/>
      <c r="C5" s="120"/>
      <c r="D5" s="120"/>
      <c r="E5" s="695"/>
      <c r="F5" s="697"/>
      <c r="G5" s="697"/>
      <c r="H5" s="699"/>
      <c r="I5" s="522" t="s">
        <v>692</v>
      </c>
      <c r="J5" s="522" t="s">
        <v>694</v>
      </c>
      <c r="K5" s="522" t="s">
        <v>693</v>
      </c>
      <c r="L5" s="522" t="s">
        <v>695</v>
      </c>
      <c r="M5" s="568" t="s">
        <v>750</v>
      </c>
      <c r="N5" s="578" t="s">
        <v>751</v>
      </c>
      <c r="O5" s="618" t="s">
        <v>696</v>
      </c>
      <c r="P5" s="619" t="s">
        <v>697</v>
      </c>
      <c r="Q5" s="522" t="s">
        <v>692</v>
      </c>
      <c r="R5" s="522" t="s">
        <v>694</v>
      </c>
      <c r="S5" s="522" t="s">
        <v>693</v>
      </c>
      <c r="T5" s="522" t="s">
        <v>695</v>
      </c>
      <c r="U5" s="568" t="s">
        <v>750</v>
      </c>
      <c r="V5" s="578" t="s">
        <v>751</v>
      </c>
      <c r="W5" s="618" t="s">
        <v>696</v>
      </c>
      <c r="X5" s="619" t="s">
        <v>697</v>
      </c>
      <c r="Y5" s="522" t="s">
        <v>692</v>
      </c>
      <c r="Z5" s="522" t="s">
        <v>694</v>
      </c>
      <c r="AA5" s="522" t="s">
        <v>693</v>
      </c>
      <c r="AB5" s="522" t="s">
        <v>695</v>
      </c>
      <c r="AC5" s="568" t="s">
        <v>750</v>
      </c>
      <c r="AD5" s="578" t="s">
        <v>751</v>
      </c>
      <c r="AE5" s="618" t="s">
        <v>696</v>
      </c>
      <c r="AF5" s="619" t="s">
        <v>697</v>
      </c>
      <c r="AG5" s="522" t="s">
        <v>692</v>
      </c>
      <c r="AH5" s="522" t="s">
        <v>694</v>
      </c>
      <c r="AI5" s="522" t="s">
        <v>693</v>
      </c>
      <c r="AJ5" s="522" t="s">
        <v>695</v>
      </c>
      <c r="AK5" s="568" t="s">
        <v>750</v>
      </c>
      <c r="AL5" s="578" t="s">
        <v>751</v>
      </c>
      <c r="AM5" s="618" t="s">
        <v>696</v>
      </c>
      <c r="AN5" s="619" t="s">
        <v>697</v>
      </c>
      <c r="AO5" s="522" t="s">
        <v>692</v>
      </c>
      <c r="AP5" s="522" t="s">
        <v>694</v>
      </c>
      <c r="AQ5" s="522" t="s">
        <v>693</v>
      </c>
      <c r="AR5" s="522" t="s">
        <v>695</v>
      </c>
      <c r="AS5" s="568" t="s">
        <v>750</v>
      </c>
      <c r="AT5" s="578" t="s">
        <v>751</v>
      </c>
      <c r="AU5" s="618" t="s">
        <v>696</v>
      </c>
      <c r="AV5" s="619" t="s">
        <v>697</v>
      </c>
      <c r="AW5" s="522" t="s">
        <v>692</v>
      </c>
      <c r="AX5" s="522" t="s">
        <v>694</v>
      </c>
      <c r="AY5" s="522" t="s">
        <v>693</v>
      </c>
      <c r="AZ5" s="522" t="s">
        <v>695</v>
      </c>
      <c r="BA5" s="568" t="s">
        <v>750</v>
      </c>
      <c r="BB5" s="578" t="s">
        <v>751</v>
      </c>
      <c r="BC5" s="618" t="s">
        <v>696</v>
      </c>
      <c r="BD5" s="619" t="s">
        <v>697</v>
      </c>
      <c r="BE5" s="522" t="s">
        <v>692</v>
      </c>
      <c r="BF5" s="522" t="s">
        <v>694</v>
      </c>
      <c r="BG5" s="522" t="s">
        <v>693</v>
      </c>
      <c r="BH5" s="522" t="s">
        <v>695</v>
      </c>
      <c r="BI5" s="568" t="s">
        <v>750</v>
      </c>
      <c r="BJ5" s="578" t="s">
        <v>751</v>
      </c>
      <c r="BK5" s="618" t="s">
        <v>696</v>
      </c>
      <c r="BL5" s="619" t="s">
        <v>697</v>
      </c>
      <c r="BM5" s="522" t="s">
        <v>692</v>
      </c>
      <c r="BN5" s="522" t="s">
        <v>694</v>
      </c>
      <c r="BO5" s="522" t="s">
        <v>693</v>
      </c>
      <c r="BP5" s="522" t="s">
        <v>695</v>
      </c>
      <c r="BQ5" s="568" t="s">
        <v>750</v>
      </c>
      <c r="BR5" s="578" t="s">
        <v>751</v>
      </c>
      <c r="BS5" s="618" t="s">
        <v>696</v>
      </c>
      <c r="BT5" s="619" t="s">
        <v>697</v>
      </c>
      <c r="BU5" s="522" t="s">
        <v>692</v>
      </c>
      <c r="BV5" s="522" t="s">
        <v>694</v>
      </c>
      <c r="BW5" s="522" t="s">
        <v>693</v>
      </c>
      <c r="BX5" s="522" t="s">
        <v>695</v>
      </c>
      <c r="BY5" s="568" t="s">
        <v>767</v>
      </c>
      <c r="BZ5" s="578" t="s">
        <v>751</v>
      </c>
      <c r="CA5" s="618" t="s">
        <v>696</v>
      </c>
      <c r="CB5" s="619" t="s">
        <v>697</v>
      </c>
      <c r="CC5" s="522" t="s">
        <v>692</v>
      </c>
      <c r="CD5" s="522" t="s">
        <v>694</v>
      </c>
      <c r="CE5" s="522" t="s">
        <v>693</v>
      </c>
      <c r="CF5" s="522" t="s">
        <v>695</v>
      </c>
      <c r="CG5" s="568" t="s">
        <v>750</v>
      </c>
      <c r="CH5" s="578" t="s">
        <v>751</v>
      </c>
      <c r="CI5" s="618" t="s">
        <v>696</v>
      </c>
      <c r="CJ5" s="619" t="s">
        <v>697</v>
      </c>
      <c r="CK5" s="522" t="s">
        <v>692</v>
      </c>
      <c r="CL5" s="522" t="s">
        <v>694</v>
      </c>
      <c r="CM5" s="522" t="s">
        <v>693</v>
      </c>
      <c r="CN5" s="522" t="s">
        <v>695</v>
      </c>
      <c r="CO5" s="568" t="s">
        <v>750</v>
      </c>
      <c r="CP5" s="578" t="s">
        <v>751</v>
      </c>
      <c r="CQ5" s="618" t="s">
        <v>696</v>
      </c>
      <c r="CR5" s="619" t="s">
        <v>697</v>
      </c>
      <c r="CS5" s="522" t="s">
        <v>692</v>
      </c>
      <c r="CT5" s="522" t="s">
        <v>694</v>
      </c>
      <c r="CU5" s="522" t="s">
        <v>693</v>
      </c>
      <c r="CV5" s="522" t="s">
        <v>695</v>
      </c>
      <c r="CW5" s="568" t="s">
        <v>750</v>
      </c>
      <c r="CX5" s="578" t="s">
        <v>751</v>
      </c>
      <c r="CY5" s="618" t="s">
        <v>696</v>
      </c>
      <c r="CZ5" s="619" t="s">
        <v>697</v>
      </c>
      <c r="DA5" s="584" t="s">
        <v>752</v>
      </c>
      <c r="DB5" s="585" t="s">
        <v>753</v>
      </c>
      <c r="DC5" s="584" t="s">
        <v>754</v>
      </c>
      <c r="DD5" s="585" t="s">
        <v>755</v>
      </c>
    </row>
    <row r="6" spans="1:113">
      <c r="A6" s="499" t="s">
        <v>32</v>
      </c>
      <c r="B6" s="505" t="s">
        <v>144</v>
      </c>
      <c r="C6" s="553">
        <v>14240</v>
      </c>
      <c r="D6" s="553">
        <f>C6</f>
        <v>14240</v>
      </c>
      <c r="E6" s="553">
        <v>14183.73</v>
      </c>
      <c r="F6" s="631"/>
      <c r="G6" s="631"/>
      <c r="H6" s="553">
        <v>7.6</v>
      </c>
      <c r="I6" s="554"/>
      <c r="J6" s="554"/>
      <c r="K6" s="554"/>
      <c r="L6" s="554"/>
      <c r="M6" s="569">
        <v>0.8</v>
      </c>
      <c r="N6" s="579">
        <v>0.26</v>
      </c>
      <c r="O6" s="620"/>
      <c r="P6" s="621"/>
      <c r="Q6" s="554"/>
      <c r="R6" s="554"/>
      <c r="S6" s="554"/>
      <c r="T6" s="554"/>
      <c r="U6" s="569">
        <v>0.4</v>
      </c>
      <c r="V6" s="579">
        <v>0</v>
      </c>
      <c r="W6" s="620"/>
      <c r="X6" s="621"/>
      <c r="Y6" s="554"/>
      <c r="Z6" s="554"/>
      <c r="AA6" s="554"/>
      <c r="AB6" s="554"/>
      <c r="AC6" s="569">
        <v>0.6</v>
      </c>
      <c r="AD6" s="579"/>
      <c r="AE6" s="620"/>
      <c r="AF6" s="621"/>
      <c r="AG6" s="554"/>
      <c r="AH6" s="554"/>
      <c r="AI6" s="554"/>
      <c r="AJ6" s="554"/>
      <c r="AK6" s="569">
        <v>1.2</v>
      </c>
      <c r="AL6" s="579"/>
      <c r="AM6" s="620"/>
      <c r="AN6" s="621"/>
      <c r="AO6" s="554"/>
      <c r="AP6" s="554"/>
      <c r="AQ6" s="554"/>
      <c r="AR6" s="554"/>
      <c r="AS6" s="569">
        <v>0.5</v>
      </c>
      <c r="AT6" s="579"/>
      <c r="AU6" s="620"/>
      <c r="AV6" s="621"/>
      <c r="AW6" s="554"/>
      <c r="AX6" s="554"/>
      <c r="AY6" s="554"/>
      <c r="AZ6" s="554"/>
      <c r="BA6" s="569">
        <v>0.9</v>
      </c>
      <c r="BB6" s="579">
        <v>0</v>
      </c>
      <c r="BC6" s="620"/>
      <c r="BD6" s="621"/>
      <c r="BE6" s="554"/>
      <c r="BF6" s="554"/>
      <c r="BG6" s="554"/>
      <c r="BH6" s="554"/>
      <c r="BI6" s="569">
        <v>0.4</v>
      </c>
      <c r="BJ6" s="579"/>
      <c r="BK6" s="620"/>
      <c r="BL6" s="621"/>
      <c r="BM6" s="554"/>
      <c r="BN6" s="554"/>
      <c r="BO6" s="554"/>
      <c r="BP6" s="554"/>
      <c r="BQ6" s="569">
        <v>0.8</v>
      </c>
      <c r="BR6" s="579">
        <v>0</v>
      </c>
      <c r="BS6" s="620"/>
      <c r="BT6" s="621"/>
      <c r="BU6" s="554"/>
      <c r="BV6" s="554"/>
      <c r="BW6" s="554"/>
      <c r="BX6" s="554"/>
      <c r="BY6" s="569">
        <v>0</v>
      </c>
      <c r="BZ6" s="579">
        <v>0</v>
      </c>
      <c r="CA6" s="620"/>
      <c r="CB6" s="621"/>
      <c r="CC6" s="554"/>
      <c r="CD6" s="554"/>
      <c r="CE6" s="554"/>
      <c r="CF6" s="554"/>
      <c r="CG6" s="569">
        <v>0.9</v>
      </c>
      <c r="CH6" s="579"/>
      <c r="CI6" s="620"/>
      <c r="CJ6" s="621"/>
      <c r="CK6" s="554"/>
      <c r="CL6" s="554"/>
      <c r="CM6" s="554"/>
      <c r="CN6" s="554"/>
      <c r="CO6" s="569">
        <v>0.3</v>
      </c>
      <c r="CP6" s="579"/>
      <c r="CQ6" s="620"/>
      <c r="CR6" s="621"/>
      <c r="CS6" s="554"/>
      <c r="CT6" s="554"/>
      <c r="CU6" s="554"/>
      <c r="CV6" s="554"/>
      <c r="CW6" s="569">
        <v>0.55000000000000004</v>
      </c>
      <c r="CX6" s="579"/>
      <c r="CY6" s="620"/>
      <c r="CZ6" s="621"/>
      <c r="DA6" s="588"/>
      <c r="DB6" s="596"/>
      <c r="DC6" s="588"/>
      <c r="DD6" s="596"/>
      <c r="DE6" s="121">
        <f>M6+U6+AC6+AK6+AS6+BA6+BI6+BQ6+BY6+CG6+CO6+CW6</f>
        <v>7.3500000000000005</v>
      </c>
    </row>
    <row r="7" spans="1:113">
      <c r="A7" s="499" t="s">
        <v>4</v>
      </c>
      <c r="B7" s="190" t="s">
        <v>678</v>
      </c>
      <c r="C7" s="138"/>
      <c r="D7" s="138"/>
      <c r="E7" s="138"/>
      <c r="F7" s="632"/>
      <c r="G7" s="138"/>
      <c r="H7" s="138"/>
      <c r="I7" s="554"/>
      <c r="J7" s="554"/>
      <c r="K7" s="554"/>
      <c r="L7" s="554"/>
      <c r="M7" s="554"/>
      <c r="N7" s="554"/>
      <c r="O7" s="554"/>
      <c r="P7" s="554"/>
      <c r="Q7" s="554"/>
      <c r="R7" s="554"/>
      <c r="S7" s="554"/>
      <c r="T7" s="554"/>
      <c r="U7" s="554"/>
      <c r="V7" s="554"/>
      <c r="W7" s="554"/>
      <c r="X7" s="554"/>
      <c r="Y7" s="554"/>
      <c r="Z7" s="554"/>
      <c r="AA7" s="554"/>
      <c r="AB7" s="554"/>
      <c r="AC7" s="554"/>
      <c r="AD7" s="554"/>
      <c r="AE7" s="554"/>
      <c r="AF7" s="554"/>
      <c r="AG7" s="554"/>
      <c r="AH7" s="554"/>
      <c r="AI7" s="554"/>
      <c r="AJ7" s="554"/>
      <c r="AK7" s="554"/>
      <c r="AL7" s="554"/>
      <c r="AM7" s="554"/>
      <c r="AN7" s="554"/>
      <c r="AO7" s="554"/>
      <c r="AP7" s="554"/>
      <c r="AQ7" s="554"/>
      <c r="AR7" s="554"/>
      <c r="AS7" s="554"/>
      <c r="AT7" s="554"/>
      <c r="AU7" s="554"/>
      <c r="AV7" s="554"/>
      <c r="AW7" s="554"/>
      <c r="AX7" s="554"/>
      <c r="AY7" s="554"/>
      <c r="AZ7" s="554"/>
      <c r="BA7" s="554"/>
      <c r="BB7" s="554"/>
      <c r="BC7" s="554"/>
      <c r="BD7" s="554"/>
      <c r="BE7" s="554"/>
      <c r="BF7" s="554"/>
      <c r="BG7" s="554"/>
      <c r="BH7" s="554"/>
      <c r="BI7" s="554"/>
      <c r="BJ7" s="554"/>
      <c r="BK7" s="554"/>
      <c r="BL7" s="554"/>
      <c r="BM7" s="554"/>
      <c r="BN7" s="554"/>
      <c r="BO7" s="554"/>
      <c r="BP7" s="554"/>
      <c r="BQ7" s="554"/>
      <c r="BR7" s="554"/>
      <c r="BS7" s="554"/>
      <c r="BT7" s="554"/>
      <c r="BU7" s="554"/>
      <c r="BV7" s="554"/>
      <c r="BW7" s="554"/>
      <c r="BX7" s="554"/>
      <c r="BY7" s="554"/>
      <c r="BZ7" s="554"/>
      <c r="CA7" s="554"/>
      <c r="CB7" s="554"/>
      <c r="CC7" s="554"/>
      <c r="CD7" s="554"/>
      <c r="CE7" s="554"/>
      <c r="CF7" s="554"/>
      <c r="CG7" s="554"/>
      <c r="CH7" s="554"/>
      <c r="CI7" s="554"/>
      <c r="CJ7" s="554"/>
      <c r="CK7" s="554"/>
      <c r="CL7" s="554"/>
      <c r="CM7" s="554"/>
      <c r="CN7" s="554"/>
      <c r="CO7" s="554"/>
      <c r="CP7" s="554"/>
      <c r="CQ7" s="554"/>
      <c r="CR7" s="554"/>
      <c r="CS7" s="554"/>
      <c r="CT7" s="554"/>
      <c r="CU7" s="554"/>
      <c r="CV7" s="554"/>
      <c r="CW7" s="554"/>
      <c r="CX7" s="554"/>
      <c r="CY7" s="554"/>
      <c r="CZ7" s="554"/>
      <c r="DA7" s="121"/>
      <c r="DB7" s="121"/>
      <c r="DC7" s="121"/>
      <c r="DD7" s="121"/>
    </row>
    <row r="8" spans="1:113">
      <c r="A8" s="263">
        <v>1</v>
      </c>
      <c r="B8" s="502" t="s">
        <v>741</v>
      </c>
      <c r="C8" s="138">
        <v>158.16999999999999</v>
      </c>
      <c r="D8" s="138">
        <f>C8</f>
        <v>158.16999999999999</v>
      </c>
      <c r="E8" s="138">
        <v>138.82</v>
      </c>
      <c r="F8" s="632"/>
      <c r="G8" s="632"/>
      <c r="H8" s="138">
        <v>7.9</v>
      </c>
      <c r="I8" s="555"/>
      <c r="J8" s="555"/>
      <c r="K8" s="555"/>
      <c r="L8" s="555"/>
      <c r="M8" s="570">
        <v>0</v>
      </c>
      <c r="N8" s="580">
        <v>3.62</v>
      </c>
      <c r="O8" s="620"/>
      <c r="P8" s="621"/>
      <c r="Q8" s="555"/>
      <c r="R8" s="555"/>
      <c r="S8" s="555"/>
      <c r="T8" s="555"/>
      <c r="U8" s="570">
        <v>0</v>
      </c>
      <c r="V8" s="580">
        <v>0</v>
      </c>
      <c r="W8" s="620"/>
      <c r="X8" s="621"/>
      <c r="Y8" s="555"/>
      <c r="Z8" s="555"/>
      <c r="AA8" s="555"/>
      <c r="AB8" s="555"/>
      <c r="AC8" s="570">
        <v>4</v>
      </c>
      <c r="AD8" s="580">
        <v>1.56</v>
      </c>
      <c r="AE8" s="620"/>
      <c r="AF8" s="621"/>
      <c r="AG8" s="555"/>
      <c r="AH8" s="555"/>
      <c r="AI8" s="555"/>
      <c r="AJ8" s="555"/>
      <c r="AK8" s="570"/>
      <c r="AL8" s="580">
        <v>0.44</v>
      </c>
      <c r="AM8" s="620"/>
      <c r="AN8" s="621"/>
      <c r="AO8" s="555"/>
      <c r="AP8" s="555"/>
      <c r="AQ8" s="555"/>
      <c r="AR8" s="555"/>
      <c r="AS8" s="570"/>
      <c r="AT8" s="580">
        <v>0.38</v>
      </c>
      <c r="AU8" s="620"/>
      <c r="AV8" s="621"/>
      <c r="AW8" s="555"/>
      <c r="AX8" s="555"/>
      <c r="AY8" s="555"/>
      <c r="AZ8" s="555"/>
      <c r="BA8" s="570"/>
      <c r="BB8" s="580">
        <v>0.37</v>
      </c>
      <c r="BC8" s="620"/>
      <c r="BD8" s="621"/>
      <c r="BE8" s="555"/>
      <c r="BF8" s="555"/>
      <c r="BG8" s="555"/>
      <c r="BH8" s="555"/>
      <c r="BI8" s="570"/>
      <c r="BJ8" s="580"/>
      <c r="BK8" s="620"/>
      <c r="BL8" s="621"/>
      <c r="BM8" s="555"/>
      <c r="BN8" s="555"/>
      <c r="BO8" s="555"/>
      <c r="BP8" s="555"/>
      <c r="BQ8" s="570"/>
      <c r="BR8" s="580">
        <v>0.18</v>
      </c>
      <c r="BS8" s="620"/>
      <c r="BT8" s="621"/>
      <c r="BU8" s="555"/>
      <c r="BV8" s="555"/>
      <c r="BW8" s="555"/>
      <c r="BX8" s="555"/>
      <c r="BY8" s="570"/>
      <c r="BZ8" s="580">
        <v>0.17186499999999999</v>
      </c>
      <c r="CA8" s="620"/>
      <c r="CB8" s="621"/>
      <c r="CC8" s="555"/>
      <c r="CD8" s="555"/>
      <c r="CE8" s="555"/>
      <c r="CF8" s="555"/>
      <c r="CG8" s="570"/>
      <c r="CH8" s="580">
        <v>0.14000000000000001</v>
      </c>
      <c r="CI8" s="620"/>
      <c r="CJ8" s="621"/>
      <c r="CK8" s="555"/>
      <c r="CL8" s="555"/>
      <c r="CM8" s="555"/>
      <c r="CN8" s="555"/>
      <c r="CO8" s="570"/>
      <c r="CP8" s="580"/>
      <c r="CQ8" s="620"/>
      <c r="CR8" s="621"/>
      <c r="CS8" s="555"/>
      <c r="CT8" s="555"/>
      <c r="CU8" s="555"/>
      <c r="CV8" s="555"/>
      <c r="CW8" s="570">
        <v>3.9</v>
      </c>
      <c r="CX8" s="580"/>
      <c r="CY8" s="620"/>
      <c r="CZ8" s="621"/>
      <c r="DA8" s="588"/>
      <c r="DB8" s="596"/>
      <c r="DC8" s="588"/>
      <c r="DD8" s="596"/>
      <c r="DE8" s="121">
        <f>M8+U8+AC8+AK8+AS8+BA8+BI8+BQ8+BY8+CG8+CO8+CW8</f>
        <v>7.9</v>
      </c>
    </row>
    <row r="9" spans="1:113">
      <c r="A9" s="263">
        <v>2</v>
      </c>
      <c r="B9" s="502" t="s">
        <v>756</v>
      </c>
      <c r="C9" s="138"/>
      <c r="D9" s="138"/>
      <c r="E9" s="138"/>
      <c r="F9" s="632"/>
      <c r="G9" s="138"/>
      <c r="H9" s="138"/>
      <c r="I9" s="555"/>
      <c r="J9" s="555"/>
      <c r="K9" s="555"/>
      <c r="L9" s="555"/>
      <c r="M9" s="555"/>
      <c r="N9" s="555">
        <v>0.47</v>
      </c>
      <c r="O9" s="555"/>
      <c r="P9" s="555"/>
      <c r="Q9" s="555"/>
      <c r="R9" s="555"/>
      <c r="S9" s="555"/>
      <c r="T9" s="555"/>
      <c r="U9" s="555"/>
      <c r="V9" s="555"/>
      <c r="W9" s="555"/>
      <c r="X9" s="555"/>
      <c r="Y9" s="555"/>
      <c r="Z9" s="555"/>
      <c r="AA9" s="555"/>
      <c r="AB9" s="555"/>
      <c r="AC9" s="555"/>
      <c r="AD9" s="555">
        <v>0.02</v>
      </c>
      <c r="AE9" s="555"/>
      <c r="AF9" s="555"/>
      <c r="AG9" s="555"/>
      <c r="AH9" s="555"/>
      <c r="AI9" s="555"/>
      <c r="AJ9" s="555"/>
      <c r="AK9" s="555"/>
      <c r="AL9" s="555"/>
      <c r="AM9" s="555"/>
      <c r="AN9" s="555"/>
      <c r="AO9" s="555"/>
      <c r="AP9" s="555"/>
      <c r="AQ9" s="555"/>
      <c r="AR9" s="555"/>
      <c r="AS9" s="555"/>
      <c r="AT9" s="555"/>
      <c r="AU9" s="555"/>
      <c r="AV9" s="555"/>
      <c r="AW9" s="555"/>
      <c r="AX9" s="555"/>
      <c r="AY9" s="555"/>
      <c r="AZ9" s="555"/>
      <c r="BA9" s="555"/>
      <c r="BB9" s="555"/>
      <c r="BC9" s="555"/>
      <c r="BD9" s="555"/>
      <c r="BE9" s="555"/>
      <c r="BF9" s="555"/>
      <c r="BG9" s="555"/>
      <c r="BH9" s="555"/>
      <c r="BI9" s="555"/>
      <c r="BJ9" s="555"/>
      <c r="BK9" s="555"/>
      <c r="BL9" s="555"/>
      <c r="BM9" s="555"/>
      <c r="BN9" s="555"/>
      <c r="BO9" s="555"/>
      <c r="BP9" s="555"/>
      <c r="BQ9" s="555"/>
      <c r="BR9" s="555"/>
      <c r="BS9" s="555"/>
      <c r="BT9" s="555"/>
      <c r="BU9" s="555"/>
      <c r="BV9" s="555"/>
      <c r="BW9" s="555"/>
      <c r="BX9" s="555"/>
      <c r="BY9" s="555"/>
      <c r="BZ9" s="555"/>
      <c r="CA9" s="555"/>
      <c r="CB9" s="555"/>
      <c r="CC9" s="555"/>
      <c r="CD9" s="555"/>
      <c r="CE9" s="555"/>
      <c r="CF9" s="555"/>
      <c r="CG9" s="555"/>
      <c r="CH9" s="555"/>
      <c r="CI9" s="555"/>
      <c r="CJ9" s="555"/>
      <c r="CK9" s="555"/>
      <c r="CL9" s="555"/>
      <c r="CM9" s="555"/>
      <c r="CN9" s="555"/>
      <c r="CO9" s="555"/>
      <c r="CP9" s="555"/>
      <c r="CQ9" s="555"/>
      <c r="CR9" s="555"/>
      <c r="CS9" s="555"/>
      <c r="CT9" s="555"/>
      <c r="CU9" s="555"/>
      <c r="CV9" s="555"/>
      <c r="CW9" s="555"/>
      <c r="CX9" s="555"/>
      <c r="CY9" s="555"/>
      <c r="CZ9" s="555"/>
      <c r="DA9" s="121"/>
      <c r="DB9" s="121"/>
      <c r="DC9" s="121"/>
      <c r="DD9" s="121"/>
    </row>
    <row r="10" spans="1:113">
      <c r="A10" s="263">
        <v>3</v>
      </c>
      <c r="B10" s="502"/>
      <c r="C10" s="138"/>
      <c r="D10" s="138"/>
      <c r="E10" s="138"/>
      <c r="F10" s="632"/>
      <c r="G10" s="138"/>
      <c r="H10" s="138"/>
      <c r="I10" s="554"/>
      <c r="J10" s="554"/>
      <c r="K10" s="554"/>
      <c r="L10" s="554"/>
      <c r="M10" s="554"/>
      <c r="N10" s="554"/>
      <c r="O10" s="554"/>
      <c r="P10" s="554"/>
      <c r="Q10" s="554"/>
      <c r="R10" s="554"/>
      <c r="S10" s="554"/>
      <c r="T10" s="554"/>
      <c r="U10" s="554"/>
      <c r="V10" s="554"/>
      <c r="W10" s="554"/>
      <c r="X10" s="554"/>
      <c r="Y10" s="554"/>
      <c r="Z10" s="554"/>
      <c r="AA10" s="554"/>
      <c r="AB10" s="554"/>
      <c r="AC10" s="554"/>
      <c r="AD10" s="554"/>
      <c r="AE10" s="554"/>
      <c r="AF10" s="554"/>
      <c r="AG10" s="554"/>
      <c r="AH10" s="554"/>
      <c r="AI10" s="554"/>
      <c r="AJ10" s="554"/>
      <c r="AK10" s="554"/>
      <c r="AL10" s="554"/>
      <c r="AM10" s="554"/>
      <c r="AN10" s="554"/>
      <c r="AO10" s="554"/>
      <c r="AP10" s="554"/>
      <c r="AQ10" s="554"/>
      <c r="AR10" s="554"/>
      <c r="AS10" s="554"/>
      <c r="AT10" s="554"/>
      <c r="AU10" s="554"/>
      <c r="AV10" s="554"/>
      <c r="AW10" s="554"/>
      <c r="AX10" s="554"/>
      <c r="AY10" s="554"/>
      <c r="AZ10" s="554"/>
      <c r="BA10" s="554"/>
      <c r="BB10" s="554"/>
      <c r="BC10" s="554"/>
      <c r="BD10" s="554"/>
      <c r="BE10" s="554"/>
      <c r="BF10" s="554"/>
      <c r="BG10" s="554"/>
      <c r="BH10" s="554"/>
      <c r="BI10" s="554"/>
      <c r="BJ10" s="554"/>
      <c r="BK10" s="554"/>
      <c r="BL10" s="554"/>
      <c r="BM10" s="554"/>
      <c r="BN10" s="554"/>
      <c r="BO10" s="554"/>
      <c r="BP10" s="554"/>
      <c r="BQ10" s="554"/>
      <c r="BR10" s="554"/>
      <c r="BS10" s="554"/>
      <c r="BT10" s="554"/>
      <c r="BU10" s="554"/>
      <c r="BV10" s="554"/>
      <c r="BW10" s="554"/>
      <c r="BX10" s="554"/>
      <c r="BY10" s="554"/>
      <c r="BZ10" s="554"/>
      <c r="CA10" s="554"/>
      <c r="CB10" s="554"/>
      <c r="CC10" s="554"/>
      <c r="CD10" s="554"/>
      <c r="CE10" s="554"/>
      <c r="CF10" s="554"/>
      <c r="CG10" s="554"/>
      <c r="CH10" s="554"/>
      <c r="CI10" s="554"/>
      <c r="CJ10" s="554"/>
      <c r="CK10" s="554"/>
      <c r="CL10" s="554"/>
      <c r="CM10" s="554"/>
      <c r="CN10" s="554"/>
      <c r="CO10" s="554"/>
      <c r="CP10" s="554"/>
      <c r="CQ10" s="554"/>
      <c r="CR10" s="554"/>
      <c r="CS10" s="554"/>
      <c r="CT10" s="554"/>
      <c r="CU10" s="554"/>
      <c r="CV10" s="554"/>
      <c r="CW10" s="554"/>
      <c r="CX10" s="554"/>
      <c r="CY10" s="554"/>
      <c r="CZ10" s="554"/>
      <c r="DA10" s="121"/>
      <c r="DB10" s="121"/>
      <c r="DC10" s="121"/>
      <c r="DD10" s="121"/>
    </row>
    <row r="11" spans="1:113">
      <c r="A11" s="263"/>
      <c r="B11" s="502" t="s">
        <v>469</v>
      </c>
      <c r="C11" s="138"/>
      <c r="D11" s="138"/>
      <c r="E11" s="138"/>
      <c r="F11" s="632"/>
      <c r="G11" s="138"/>
      <c r="H11" s="138"/>
      <c r="I11" s="555"/>
      <c r="J11" s="555"/>
      <c r="K11" s="555"/>
      <c r="L11" s="555"/>
      <c r="M11" s="555"/>
      <c r="N11" s="555"/>
      <c r="O11" s="555"/>
      <c r="P11" s="555"/>
      <c r="Q11" s="555"/>
      <c r="R11" s="555"/>
      <c r="S11" s="555"/>
      <c r="T11" s="555"/>
      <c r="U11" s="555"/>
      <c r="V11" s="555"/>
      <c r="W11" s="555"/>
      <c r="X11" s="555"/>
      <c r="Y11" s="555"/>
      <c r="Z11" s="555"/>
      <c r="AA11" s="555"/>
      <c r="AB11" s="555"/>
      <c r="AC11" s="555"/>
      <c r="AD11" s="555"/>
      <c r="AE11" s="555"/>
      <c r="AF11" s="555"/>
      <c r="AG11" s="555"/>
      <c r="AH11" s="555"/>
      <c r="AI11" s="555"/>
      <c r="AJ11" s="555"/>
      <c r="AK11" s="555"/>
      <c r="AL11" s="555"/>
      <c r="AM11" s="555"/>
      <c r="AN11" s="555"/>
      <c r="AO11" s="555"/>
      <c r="AP11" s="555"/>
      <c r="AQ11" s="555"/>
      <c r="AR11" s="555"/>
      <c r="AS11" s="555"/>
      <c r="AT11" s="555"/>
      <c r="AU11" s="555"/>
      <c r="AV11" s="555"/>
      <c r="AW11" s="555"/>
      <c r="AX11" s="555"/>
      <c r="AY11" s="555"/>
      <c r="AZ11" s="555"/>
      <c r="BA11" s="555"/>
      <c r="BB11" s="555">
        <v>0.27</v>
      </c>
      <c r="BC11" s="555"/>
      <c r="BD11" s="555"/>
      <c r="BE11" s="555"/>
      <c r="BF11" s="555"/>
      <c r="BG11" s="555"/>
      <c r="BH11" s="555"/>
      <c r="BI11" s="555"/>
      <c r="BJ11" s="555">
        <v>0.1</v>
      </c>
      <c r="BK11" s="555"/>
      <c r="BL11" s="555"/>
      <c r="BM11" s="555"/>
      <c r="BN11" s="555"/>
      <c r="BO11" s="555"/>
      <c r="BP11" s="555"/>
      <c r="BQ11" s="555"/>
      <c r="BR11" s="555"/>
      <c r="BS11" s="555"/>
      <c r="BT11" s="555"/>
      <c r="BU11" s="555"/>
      <c r="BV11" s="555"/>
      <c r="BW11" s="555"/>
      <c r="BX11" s="555"/>
      <c r="BY11" s="555"/>
      <c r="BZ11" s="555"/>
      <c r="CA11" s="555"/>
      <c r="CB11" s="555"/>
      <c r="CC11" s="555"/>
      <c r="CD11" s="555"/>
      <c r="CE11" s="555"/>
      <c r="CF11" s="555"/>
      <c r="CG11" s="555"/>
      <c r="CH11" s="555"/>
      <c r="CI11" s="555"/>
      <c r="CJ11" s="555"/>
      <c r="CK11" s="555"/>
      <c r="CL11" s="555"/>
      <c r="CM11" s="555"/>
      <c r="CN11" s="555"/>
      <c r="CO11" s="555"/>
      <c r="CP11" s="555"/>
      <c r="CQ11" s="555"/>
      <c r="CR11" s="555"/>
      <c r="CS11" s="555"/>
      <c r="CT11" s="555"/>
      <c r="CU11" s="555"/>
      <c r="CV11" s="555"/>
      <c r="CW11" s="555"/>
      <c r="CX11" s="555"/>
      <c r="CY11" s="555"/>
      <c r="CZ11" s="555"/>
      <c r="DA11" s="121"/>
      <c r="DB11" s="121"/>
      <c r="DC11" s="121"/>
      <c r="DD11" s="121"/>
    </row>
    <row r="12" spans="1:113" s="613" customFormat="1">
      <c r="A12" s="599"/>
      <c r="B12" s="608" t="s">
        <v>72</v>
      </c>
      <c r="C12" s="601">
        <f>SUM(C8:C11)</f>
        <v>158.16999999999999</v>
      </c>
      <c r="D12" s="601">
        <f>SUM(D8:D11)</f>
        <v>158.16999999999999</v>
      </c>
      <c r="E12" s="601">
        <f>SUM(E8:E11)</f>
        <v>138.82</v>
      </c>
      <c r="F12" s="633"/>
      <c r="G12" s="633"/>
      <c r="H12" s="601">
        <f>SUM(H8:H11)</f>
        <v>7.9</v>
      </c>
      <c r="I12" s="592"/>
      <c r="J12" s="592"/>
      <c r="K12" s="592"/>
      <c r="L12" s="592"/>
      <c r="M12" s="592">
        <f>SUM(M8:M11)</f>
        <v>0</v>
      </c>
      <c r="N12" s="592">
        <f>SUM(N8:N11)</f>
        <v>4.09</v>
      </c>
      <c r="O12" s="622"/>
      <c r="P12" s="622"/>
      <c r="Q12" s="592"/>
      <c r="R12" s="592"/>
      <c r="S12" s="592"/>
      <c r="T12" s="592"/>
      <c r="U12" s="592">
        <f>SUM(U8:U11)</f>
        <v>0</v>
      </c>
      <c r="V12" s="592">
        <f>SUM(V8:V11)</f>
        <v>0</v>
      </c>
      <c r="W12" s="622"/>
      <c r="X12" s="622"/>
      <c r="Y12" s="592"/>
      <c r="Z12" s="592"/>
      <c r="AA12" s="592"/>
      <c r="AB12" s="592"/>
      <c r="AC12" s="592">
        <f>SUM(AC8:AC11)</f>
        <v>4</v>
      </c>
      <c r="AD12" s="592">
        <f>SUM(AD8:AD11)</f>
        <v>1.58</v>
      </c>
      <c r="AE12" s="622"/>
      <c r="AF12" s="622"/>
      <c r="AG12" s="592"/>
      <c r="AH12" s="592"/>
      <c r="AI12" s="592"/>
      <c r="AJ12" s="592"/>
      <c r="AK12" s="592">
        <f>SUM(AK8:AK11)</f>
        <v>0</v>
      </c>
      <c r="AL12" s="592">
        <f>SUM(AL8:AL11)</f>
        <v>0.44</v>
      </c>
      <c r="AM12" s="622"/>
      <c r="AN12" s="622"/>
      <c r="AO12" s="592"/>
      <c r="AP12" s="592"/>
      <c r="AQ12" s="592"/>
      <c r="AR12" s="592"/>
      <c r="AS12" s="592">
        <f>SUM(AS8:AS11)</f>
        <v>0</v>
      </c>
      <c r="AT12" s="592">
        <f>SUM(AT8:AT11)</f>
        <v>0.38</v>
      </c>
      <c r="AU12" s="622"/>
      <c r="AV12" s="622"/>
      <c r="AW12" s="592"/>
      <c r="AX12" s="592"/>
      <c r="AY12" s="592"/>
      <c r="AZ12" s="592"/>
      <c r="BA12" s="592">
        <f>SUM(BA8:BA11)</f>
        <v>0</v>
      </c>
      <c r="BB12" s="592">
        <f>SUM(BB8:BB11)</f>
        <v>0.64</v>
      </c>
      <c r="BC12" s="622"/>
      <c r="BD12" s="622"/>
      <c r="BE12" s="592"/>
      <c r="BF12" s="592"/>
      <c r="BG12" s="592"/>
      <c r="BH12" s="592"/>
      <c r="BI12" s="592">
        <f>SUM(BI8:BI11)</f>
        <v>0</v>
      </c>
      <c r="BJ12" s="592">
        <f>SUM(BJ8:BJ11)</f>
        <v>0.1</v>
      </c>
      <c r="BK12" s="622"/>
      <c r="BL12" s="622"/>
      <c r="BM12" s="592"/>
      <c r="BN12" s="592"/>
      <c r="BO12" s="592"/>
      <c r="BP12" s="592"/>
      <c r="BQ12" s="592">
        <f>SUM(BQ8:BQ11)</f>
        <v>0</v>
      </c>
      <c r="BR12" s="592">
        <f>SUM(BR8:BR11)</f>
        <v>0.18</v>
      </c>
      <c r="BS12" s="622"/>
      <c r="BT12" s="622"/>
      <c r="BU12" s="592"/>
      <c r="BV12" s="592"/>
      <c r="BW12" s="592"/>
      <c r="BX12" s="592"/>
      <c r="BY12" s="592">
        <f>SUM(BY8:BY11)</f>
        <v>0</v>
      </c>
      <c r="BZ12" s="592">
        <f>SUM(BZ8:BZ11)</f>
        <v>0.17186499999999999</v>
      </c>
      <c r="CA12" s="622"/>
      <c r="CB12" s="622"/>
      <c r="CC12" s="592"/>
      <c r="CD12" s="592"/>
      <c r="CE12" s="592"/>
      <c r="CF12" s="592"/>
      <c r="CG12" s="592">
        <f>SUM(CG8:CG11)</f>
        <v>0</v>
      </c>
      <c r="CH12" s="592">
        <f>SUM(CH8:CH11)</f>
        <v>0.14000000000000001</v>
      </c>
      <c r="CI12" s="622"/>
      <c r="CJ12" s="622"/>
      <c r="CK12" s="592"/>
      <c r="CL12" s="592"/>
      <c r="CM12" s="592"/>
      <c r="CN12" s="592"/>
      <c r="CO12" s="592">
        <f>SUM(CO8:CO11)</f>
        <v>0</v>
      </c>
      <c r="CP12" s="592">
        <f>SUM(CP8:CP11)</f>
        <v>0</v>
      </c>
      <c r="CQ12" s="622"/>
      <c r="CR12" s="622"/>
      <c r="CS12" s="592"/>
      <c r="CT12" s="592"/>
      <c r="CU12" s="592"/>
      <c r="CV12" s="592"/>
      <c r="CW12" s="592">
        <f>SUM(CW8:CW11)</f>
        <v>3.9</v>
      </c>
      <c r="CX12" s="592">
        <f>SUM(CX8:CX11)</f>
        <v>0</v>
      </c>
      <c r="CY12" s="622"/>
      <c r="CZ12" s="622"/>
      <c r="DA12" s="602"/>
      <c r="DB12" s="602"/>
      <c r="DC12" s="602"/>
      <c r="DD12" s="602"/>
      <c r="DE12" s="121">
        <f>M12+U12+AC12+AK12+AS12+BA12+BI12+BQ12+BY12+CG12+CO12+CW12</f>
        <v>7.9</v>
      </c>
      <c r="DH12" s="658"/>
    </row>
    <row r="13" spans="1:113" s="128" customFormat="1">
      <c r="A13" s="499"/>
      <c r="B13" s="197"/>
      <c r="C13" s="553"/>
      <c r="D13" s="553"/>
      <c r="E13" s="553"/>
      <c r="F13" s="631"/>
      <c r="G13" s="553"/>
      <c r="H13" s="553"/>
      <c r="I13" s="554"/>
      <c r="J13" s="554"/>
      <c r="K13" s="554"/>
      <c r="L13" s="554"/>
      <c r="M13" s="554"/>
      <c r="N13" s="554"/>
      <c r="O13" s="554"/>
      <c r="P13" s="554"/>
      <c r="Q13" s="554"/>
      <c r="R13" s="554"/>
      <c r="S13" s="554"/>
      <c r="T13" s="554"/>
      <c r="U13" s="554"/>
      <c r="V13" s="554"/>
      <c r="W13" s="554"/>
      <c r="X13" s="554"/>
      <c r="Y13" s="554"/>
      <c r="Z13" s="554"/>
      <c r="AA13" s="554"/>
      <c r="AB13" s="554"/>
      <c r="AC13" s="554"/>
      <c r="AD13" s="554"/>
      <c r="AE13" s="554"/>
      <c r="AF13" s="554"/>
      <c r="AG13" s="554"/>
      <c r="AH13" s="554"/>
      <c r="AI13" s="554"/>
      <c r="AJ13" s="554"/>
      <c r="AK13" s="554"/>
      <c r="AL13" s="554"/>
      <c r="AM13" s="554"/>
      <c r="AN13" s="554"/>
      <c r="AO13" s="554"/>
      <c r="AP13" s="554"/>
      <c r="AQ13" s="554"/>
      <c r="AR13" s="554"/>
      <c r="AS13" s="554"/>
      <c r="AT13" s="554"/>
      <c r="AU13" s="554"/>
      <c r="AV13" s="554"/>
      <c r="AW13" s="554"/>
      <c r="AX13" s="554"/>
      <c r="AY13" s="554"/>
      <c r="AZ13" s="554"/>
      <c r="BA13" s="554"/>
      <c r="BB13" s="554"/>
      <c r="BC13" s="554"/>
      <c r="BD13" s="554"/>
      <c r="BE13" s="554"/>
      <c r="BF13" s="554"/>
      <c r="BG13" s="554"/>
      <c r="BH13" s="554"/>
      <c r="BI13" s="554"/>
      <c r="BJ13" s="554"/>
      <c r="BK13" s="554"/>
      <c r="BL13" s="554"/>
      <c r="BM13" s="554"/>
      <c r="BN13" s="554"/>
      <c r="BO13" s="554"/>
      <c r="BP13" s="554"/>
      <c r="BQ13" s="554"/>
      <c r="BR13" s="554"/>
      <c r="BS13" s="554"/>
      <c r="BT13" s="554"/>
      <c r="BU13" s="554"/>
      <c r="BV13" s="554"/>
      <c r="BW13" s="554"/>
      <c r="BX13" s="554"/>
      <c r="BY13" s="554"/>
      <c r="BZ13" s="554"/>
      <c r="CA13" s="554"/>
      <c r="CB13" s="554"/>
      <c r="CC13" s="554"/>
      <c r="CD13" s="554"/>
      <c r="CE13" s="554"/>
      <c r="CF13" s="554"/>
      <c r="CG13" s="554"/>
      <c r="CH13" s="554"/>
      <c r="CI13" s="554"/>
      <c r="CJ13" s="554"/>
      <c r="CK13" s="554"/>
      <c r="CL13" s="554"/>
      <c r="CM13" s="554"/>
      <c r="CN13" s="554"/>
      <c r="CO13" s="554"/>
      <c r="CP13" s="554"/>
      <c r="CQ13" s="554"/>
      <c r="CR13" s="554"/>
      <c r="CS13" s="554"/>
      <c r="CT13" s="554"/>
      <c r="CU13" s="554"/>
      <c r="CV13" s="554"/>
      <c r="CW13" s="554"/>
      <c r="CX13" s="554"/>
      <c r="CY13" s="554"/>
      <c r="CZ13" s="554"/>
      <c r="DH13" s="659"/>
    </row>
    <row r="14" spans="1:113">
      <c r="A14" s="499" t="s">
        <v>2</v>
      </c>
      <c r="B14" s="190" t="s">
        <v>679</v>
      </c>
      <c r="C14" s="553"/>
      <c r="D14" s="553"/>
      <c r="E14" s="553"/>
      <c r="F14" s="631"/>
      <c r="G14" s="553"/>
      <c r="H14" s="553"/>
      <c r="I14" s="554"/>
      <c r="J14" s="554"/>
      <c r="K14" s="554"/>
      <c r="L14" s="554"/>
      <c r="M14" s="554"/>
      <c r="N14" s="554"/>
      <c r="O14" s="554"/>
      <c r="P14" s="554"/>
      <c r="Q14" s="554"/>
      <c r="R14" s="554"/>
      <c r="S14" s="554"/>
      <c r="T14" s="554"/>
      <c r="U14" s="554"/>
      <c r="V14" s="554"/>
      <c r="W14" s="554"/>
      <c r="X14" s="554"/>
      <c r="Y14" s="554"/>
      <c r="Z14" s="554"/>
      <c r="AA14" s="554"/>
      <c r="AB14" s="554"/>
      <c r="AC14" s="554"/>
      <c r="AD14" s="554"/>
      <c r="AE14" s="554"/>
      <c r="AF14" s="554"/>
      <c r="AG14" s="554"/>
      <c r="AH14" s="554"/>
      <c r="AI14" s="554"/>
      <c r="AJ14" s="554"/>
      <c r="AK14" s="554"/>
      <c r="AL14" s="554"/>
      <c r="AM14" s="554"/>
      <c r="AN14" s="554"/>
      <c r="AO14" s="554"/>
      <c r="AP14" s="554"/>
      <c r="AQ14" s="554"/>
      <c r="AR14" s="554"/>
      <c r="AS14" s="554"/>
      <c r="AT14" s="554"/>
      <c r="AU14" s="554"/>
      <c r="AV14" s="554"/>
      <c r="AW14" s="554"/>
      <c r="AX14" s="554"/>
      <c r="AY14" s="554"/>
      <c r="AZ14" s="554"/>
      <c r="BA14" s="554"/>
      <c r="BB14" s="554"/>
      <c r="BC14" s="554"/>
      <c r="BD14" s="554"/>
      <c r="BE14" s="554"/>
      <c r="BF14" s="554"/>
      <c r="BG14" s="554"/>
      <c r="BH14" s="554"/>
      <c r="BI14" s="554"/>
      <c r="BJ14" s="554"/>
      <c r="BK14" s="554"/>
      <c r="BL14" s="554"/>
      <c r="BM14" s="554"/>
      <c r="BN14" s="554"/>
      <c r="BO14" s="554"/>
      <c r="BP14" s="554"/>
      <c r="BQ14" s="554"/>
      <c r="BR14" s="554"/>
      <c r="BS14" s="554"/>
      <c r="BT14" s="554"/>
      <c r="BU14" s="554"/>
      <c r="BV14" s="554"/>
      <c r="BW14" s="554"/>
      <c r="BX14" s="554"/>
      <c r="BY14" s="554"/>
      <c r="BZ14" s="554"/>
      <c r="CA14" s="554"/>
      <c r="CB14" s="554"/>
      <c r="CC14" s="554"/>
      <c r="CD14" s="554"/>
      <c r="CE14" s="554"/>
      <c r="CF14" s="554"/>
      <c r="CG14" s="554"/>
      <c r="CH14" s="554"/>
      <c r="CI14" s="554"/>
      <c r="CJ14" s="554"/>
      <c r="CK14" s="554"/>
      <c r="CL14" s="554"/>
      <c r="CM14" s="554"/>
      <c r="CN14" s="554"/>
      <c r="CO14" s="554"/>
      <c r="CP14" s="554"/>
      <c r="CQ14" s="554"/>
      <c r="CR14" s="554"/>
      <c r="CS14" s="554"/>
      <c r="CT14" s="554"/>
      <c r="CU14" s="554"/>
      <c r="CV14" s="554"/>
      <c r="CW14" s="554"/>
      <c r="CX14" s="554"/>
      <c r="CY14" s="554"/>
      <c r="CZ14" s="554"/>
      <c r="DA14" s="121"/>
      <c r="DB14" s="121"/>
      <c r="DC14" s="121"/>
      <c r="DD14" s="121"/>
    </row>
    <row r="15" spans="1:113">
      <c r="A15" s="263">
        <v>1</v>
      </c>
      <c r="B15" s="503" t="s">
        <v>742</v>
      </c>
      <c r="C15" s="138">
        <v>433.58</v>
      </c>
      <c r="D15" s="138">
        <f t="shared" ref="D15:D19" si="0">C15</f>
        <v>433.58</v>
      </c>
      <c r="E15" s="138">
        <v>53.15</v>
      </c>
      <c r="F15" s="632">
        <v>0.78825416612364885</v>
      </c>
      <c r="G15" s="634">
        <f t="shared" ref="G15:G18" si="1">O15+W15+AE15+AM15+AU15+BC15+BK15+BS15+CA15+CI15+CQ15+CY15</f>
        <v>0.192</v>
      </c>
      <c r="H15" s="138">
        <v>53.15</v>
      </c>
      <c r="I15" s="554"/>
      <c r="J15" s="554"/>
      <c r="K15" s="554"/>
      <c r="L15" s="554"/>
      <c r="M15" s="569">
        <v>5</v>
      </c>
      <c r="N15" s="579">
        <v>5.03</v>
      </c>
      <c r="O15" s="620">
        <v>4.1599999999999998E-2</v>
      </c>
      <c r="P15" s="621">
        <v>2.1634322707765323E-2</v>
      </c>
      <c r="Q15" s="554"/>
      <c r="R15" s="554"/>
      <c r="S15" s="554"/>
      <c r="T15" s="554"/>
      <c r="U15" s="569">
        <v>5</v>
      </c>
      <c r="V15" s="579">
        <v>4.32</v>
      </c>
      <c r="W15" s="620">
        <v>4.1400000000000006E-2</v>
      </c>
      <c r="X15" s="621">
        <v>1.3103895740829638E-2</v>
      </c>
      <c r="Y15" s="554"/>
      <c r="Z15" s="554"/>
      <c r="AA15" s="554"/>
      <c r="AB15" s="554"/>
      <c r="AC15" s="569">
        <v>5</v>
      </c>
      <c r="AD15" s="579">
        <v>19.059999999999999</v>
      </c>
      <c r="AE15" s="620">
        <v>4.3999999999999997E-2</v>
      </c>
      <c r="AF15" s="621">
        <v>1.2945285320142474E-2</v>
      </c>
      <c r="AG15" s="554"/>
      <c r="AH15" s="554"/>
      <c r="AI15" s="554"/>
      <c r="AJ15" s="554"/>
      <c r="AK15" s="569">
        <v>4</v>
      </c>
      <c r="AL15" s="579">
        <v>5.99</v>
      </c>
      <c r="AM15" s="620">
        <v>3.6499999999999998E-2</v>
      </c>
      <c r="AN15" s="621">
        <v>2.0963703966471407E-2</v>
      </c>
      <c r="AO15" s="554"/>
      <c r="AP15" s="554"/>
      <c r="AQ15" s="554"/>
      <c r="AR15" s="554"/>
      <c r="AS15" s="569">
        <v>4</v>
      </c>
      <c r="AT15" s="579">
        <v>3.22</v>
      </c>
      <c r="AU15" s="620">
        <v>2.8500000000000001E-2</v>
      </c>
      <c r="AV15" s="621">
        <v>1.77933418598283E-2</v>
      </c>
      <c r="AW15" s="554"/>
      <c r="AX15" s="554"/>
      <c r="AY15" s="554"/>
      <c r="AZ15" s="554"/>
      <c r="BA15" s="570">
        <v>4</v>
      </c>
      <c r="BB15" s="579">
        <v>4.5599999999999996</v>
      </c>
      <c r="BC15" s="620"/>
      <c r="BD15" s="621">
        <v>2.0037819828205395E-2</v>
      </c>
      <c r="BE15" s="554"/>
      <c r="BF15" s="554"/>
      <c r="BG15" s="554"/>
      <c r="BH15" s="554"/>
      <c r="BI15" s="569">
        <v>2</v>
      </c>
      <c r="BJ15" s="579">
        <v>11.63</v>
      </c>
      <c r="BK15" s="620"/>
      <c r="BL15" s="621">
        <v>2.7799999999999998E-2</v>
      </c>
      <c r="BM15" s="554"/>
      <c r="BN15" s="554"/>
      <c r="BO15" s="554"/>
      <c r="BP15" s="554"/>
      <c r="BQ15" s="569">
        <v>1</v>
      </c>
      <c r="BR15" s="579">
        <v>5.66</v>
      </c>
      <c r="BS15" s="620"/>
      <c r="BT15" s="621">
        <v>1.0330651600874948E-2</v>
      </c>
      <c r="BU15" s="554"/>
      <c r="BV15" s="554"/>
      <c r="BW15" s="554"/>
      <c r="BX15" s="554"/>
      <c r="BY15" s="569">
        <v>0</v>
      </c>
      <c r="BZ15" s="579">
        <v>0.62</v>
      </c>
      <c r="CA15" s="620"/>
      <c r="CB15" s="621">
        <v>6.4000000000000003E-3</v>
      </c>
      <c r="CC15" s="554"/>
      <c r="CD15" s="554"/>
      <c r="CE15" s="554"/>
      <c r="CF15" s="554"/>
      <c r="CG15" s="569">
        <v>5.5</v>
      </c>
      <c r="CH15" s="579">
        <v>0.9</v>
      </c>
      <c r="CI15" s="620"/>
      <c r="CJ15" s="621">
        <v>7.6E-3</v>
      </c>
      <c r="CK15" s="554"/>
      <c r="CL15" s="554"/>
      <c r="CM15" s="554"/>
      <c r="CN15" s="554"/>
      <c r="CO15" s="569">
        <v>5.5</v>
      </c>
      <c r="CP15" s="579"/>
      <c r="CQ15" s="620"/>
      <c r="CR15" s="621"/>
      <c r="CS15" s="554"/>
      <c r="CT15" s="554"/>
      <c r="CU15" s="554"/>
      <c r="CV15" s="554"/>
      <c r="CW15" s="569">
        <v>11</v>
      </c>
      <c r="CX15" s="579"/>
      <c r="CY15" s="620"/>
      <c r="CZ15" s="621"/>
      <c r="DA15" s="588"/>
      <c r="DB15" s="596"/>
      <c r="DC15" s="588"/>
      <c r="DD15" s="596"/>
      <c r="DE15" s="121">
        <f t="shared" ref="DE15:DE18" si="2">M15+U15+AC15+AK15+AS15+BA15+BI15+BQ15+BY15+CG15+CO15+CW15</f>
        <v>52</v>
      </c>
      <c r="DF15" s="121">
        <f t="shared" ref="DF15" si="3">N15+V15+AD15+AL15+AT15+BB15+BJ15+BR15+BZ15+CH15+CP15+CX15</f>
        <v>60.989999999999995</v>
      </c>
      <c r="DG15" s="121">
        <f t="shared" ref="DG15" si="4">O15+W15+AE15+AM15+AU15+BC15+BK15+BS15+CA15+CI15+CQ15+CY15</f>
        <v>0.192</v>
      </c>
      <c r="DH15" s="657">
        <f t="shared" ref="DH15:DH19" si="5">P15+X15+AF15+AN15+AV15+BD15+BL15+BT15+CB15+CJ15+CR15+CZ15</f>
        <v>0.15860902102411747</v>
      </c>
      <c r="DI15" s="657">
        <f>F15+DH15</f>
        <v>0.94686318714776629</v>
      </c>
    </row>
    <row r="16" spans="1:113">
      <c r="A16" s="263">
        <v>2</v>
      </c>
      <c r="B16" s="268" t="s">
        <v>743</v>
      </c>
      <c r="C16" s="138">
        <v>1105.23</v>
      </c>
      <c r="D16" s="138">
        <f t="shared" si="0"/>
        <v>1105.23</v>
      </c>
      <c r="E16" s="138">
        <v>357</v>
      </c>
      <c r="F16" s="632">
        <v>0.44164188047403069</v>
      </c>
      <c r="G16" s="634">
        <f t="shared" si="1"/>
        <v>0.54720000000000013</v>
      </c>
      <c r="H16" s="556">
        <v>357</v>
      </c>
      <c r="I16" s="554"/>
      <c r="J16" s="554"/>
      <c r="K16" s="554"/>
      <c r="L16" s="554"/>
      <c r="M16" s="569">
        <v>5</v>
      </c>
      <c r="N16" s="579">
        <v>6.49</v>
      </c>
      <c r="O16" s="620">
        <v>4.8399999999999999E-2</v>
      </c>
      <c r="P16" s="621">
        <v>4.8808428399009146E-2</v>
      </c>
      <c r="Q16" s="554"/>
      <c r="R16" s="554"/>
      <c r="S16" s="554"/>
      <c r="T16" s="554"/>
      <c r="U16" s="569">
        <v>25</v>
      </c>
      <c r="V16" s="579">
        <v>25.88</v>
      </c>
      <c r="W16" s="620">
        <v>6.3299999999999995E-2</v>
      </c>
      <c r="X16" s="621">
        <v>1.9235259371458847E-2</v>
      </c>
      <c r="Y16" s="554"/>
      <c r="Z16" s="554"/>
      <c r="AA16" s="554"/>
      <c r="AB16" s="554"/>
      <c r="AC16" s="569">
        <v>35</v>
      </c>
      <c r="AD16" s="579">
        <v>18.010000000000002</v>
      </c>
      <c r="AE16" s="620">
        <v>5.5199999999999999E-2</v>
      </c>
      <c r="AF16" s="621">
        <v>2.7368162972273964E-2</v>
      </c>
      <c r="AG16" s="554"/>
      <c r="AH16" s="554"/>
      <c r="AI16" s="554"/>
      <c r="AJ16" s="554"/>
      <c r="AK16" s="569">
        <v>30</v>
      </c>
      <c r="AL16" s="579">
        <v>44.22</v>
      </c>
      <c r="AM16" s="620">
        <v>6.2399999999999997E-2</v>
      </c>
      <c r="AN16" s="621">
        <v>3.900553119814399E-2</v>
      </c>
      <c r="AO16" s="554"/>
      <c r="AP16" s="554"/>
      <c r="AQ16" s="554"/>
      <c r="AR16" s="554"/>
      <c r="AS16" s="569">
        <v>40</v>
      </c>
      <c r="AT16" s="579">
        <v>36.65</v>
      </c>
      <c r="AU16" s="620">
        <v>6.7100000000000007E-2</v>
      </c>
      <c r="AV16" s="621">
        <v>2.7476693381368055E-2</v>
      </c>
      <c r="AW16" s="554"/>
      <c r="AX16" s="554"/>
      <c r="AY16" s="554"/>
      <c r="AZ16" s="554"/>
      <c r="BA16" s="569">
        <v>40</v>
      </c>
      <c r="BB16" s="579">
        <v>25.09</v>
      </c>
      <c r="BC16" s="620">
        <v>8.6400000000000005E-2</v>
      </c>
      <c r="BD16" s="621">
        <v>2.6338481504846814E-2</v>
      </c>
      <c r="BE16" s="554"/>
      <c r="BF16" s="554"/>
      <c r="BG16" s="554"/>
      <c r="BH16" s="554"/>
      <c r="BI16" s="569">
        <v>40</v>
      </c>
      <c r="BJ16" s="579">
        <v>50.2</v>
      </c>
      <c r="BK16" s="620">
        <v>3.8399999999999997E-2</v>
      </c>
      <c r="BL16" s="621">
        <v>3.6799999999999999E-2</v>
      </c>
      <c r="BM16" s="554"/>
      <c r="BN16" s="554"/>
      <c r="BO16" s="554"/>
      <c r="BP16" s="554"/>
      <c r="BQ16" s="569">
        <v>40</v>
      </c>
      <c r="BR16" s="579">
        <v>16.989999999999998</v>
      </c>
      <c r="BS16" s="620">
        <v>2.01E-2</v>
      </c>
      <c r="BT16" s="621">
        <v>3.5605429112379697E-2</v>
      </c>
      <c r="BU16" s="554"/>
      <c r="BV16" s="554"/>
      <c r="BW16" s="554"/>
      <c r="BX16" s="554"/>
      <c r="BY16" s="569">
        <v>30</v>
      </c>
      <c r="BZ16" s="579">
        <v>20.8</v>
      </c>
      <c r="CA16" s="620">
        <v>5.2999999999999999E-2</v>
      </c>
      <c r="CB16" s="621">
        <v>3.9899999999999998E-2</v>
      </c>
      <c r="CC16" s="554"/>
      <c r="CD16" s="554"/>
      <c r="CE16" s="554"/>
      <c r="CF16" s="554"/>
      <c r="CG16" s="569">
        <v>30</v>
      </c>
      <c r="CH16" s="579">
        <v>28.66</v>
      </c>
      <c r="CI16" s="620">
        <v>2.1299999999999999E-2</v>
      </c>
      <c r="CJ16" s="621">
        <v>8.0000000000000002E-3</v>
      </c>
      <c r="CK16" s="554"/>
      <c r="CL16" s="554"/>
      <c r="CM16" s="554"/>
      <c r="CN16" s="554"/>
      <c r="CO16" s="569">
        <v>25</v>
      </c>
      <c r="CP16" s="579"/>
      <c r="CQ16" s="620">
        <v>2.3E-2</v>
      </c>
      <c r="CR16" s="621"/>
      <c r="CS16" s="554"/>
      <c r="CT16" s="554"/>
      <c r="CU16" s="554"/>
      <c r="CV16" s="554"/>
      <c r="CW16" s="569">
        <v>17</v>
      </c>
      <c r="CX16" s="579"/>
      <c r="CY16" s="620">
        <v>8.6E-3</v>
      </c>
      <c r="CZ16" s="621"/>
      <c r="DA16" s="588"/>
      <c r="DB16" s="596"/>
      <c r="DC16" s="588"/>
      <c r="DD16" s="596"/>
      <c r="DE16" s="121">
        <f t="shared" si="2"/>
        <v>357</v>
      </c>
      <c r="DH16" s="657">
        <f t="shared" si="5"/>
        <v>0.30853798593948045</v>
      </c>
      <c r="DI16" s="657">
        <f t="shared" ref="DI16:DI19" si="6">F16+DH16</f>
        <v>0.75017986641351109</v>
      </c>
    </row>
    <row r="17" spans="1:113">
      <c r="A17" s="263">
        <v>3</v>
      </c>
      <c r="B17" s="268" t="s">
        <v>744</v>
      </c>
      <c r="C17" s="138">
        <v>69.62</v>
      </c>
      <c r="D17" s="138">
        <f t="shared" si="0"/>
        <v>69.62</v>
      </c>
      <c r="E17" s="138">
        <v>16</v>
      </c>
      <c r="F17" s="632">
        <v>0.62870000000000004</v>
      </c>
      <c r="G17" s="634">
        <f t="shared" si="1"/>
        <v>0.37130000000000002</v>
      </c>
      <c r="H17" s="556">
        <v>16</v>
      </c>
      <c r="I17" s="554"/>
      <c r="J17" s="554"/>
      <c r="K17" s="554"/>
      <c r="L17" s="554"/>
      <c r="M17" s="569">
        <v>0.2</v>
      </c>
      <c r="N17" s="579">
        <v>1.79</v>
      </c>
      <c r="O17" s="620">
        <v>2.8500000000000001E-2</v>
      </c>
      <c r="P17" s="621">
        <v>1.7000000000000001E-2</v>
      </c>
      <c r="Q17" s="554"/>
      <c r="R17" s="554"/>
      <c r="S17" s="554"/>
      <c r="T17" s="554"/>
      <c r="U17" s="569">
        <v>1.6</v>
      </c>
      <c r="V17" s="579">
        <v>0.9</v>
      </c>
      <c r="W17" s="620">
        <v>7.1099999999999997E-2</v>
      </c>
      <c r="X17" s="621">
        <v>6.4588747099767974E-2</v>
      </c>
      <c r="Y17" s="554"/>
      <c r="Z17" s="554"/>
      <c r="AA17" s="554"/>
      <c r="AB17" s="554"/>
      <c r="AC17" s="569">
        <v>0.4</v>
      </c>
      <c r="AD17" s="579">
        <v>1.69</v>
      </c>
      <c r="AE17" s="620">
        <v>3.6700000000000003E-2</v>
      </c>
      <c r="AF17" s="621">
        <v>5.9299999999999999E-2</v>
      </c>
      <c r="AG17" s="554"/>
      <c r="AH17" s="554"/>
      <c r="AI17" s="554"/>
      <c r="AJ17" s="554"/>
      <c r="AK17" s="569">
        <v>6.8</v>
      </c>
      <c r="AL17" s="579">
        <v>6.43</v>
      </c>
      <c r="AM17" s="620">
        <v>4.7500000000000001E-2</v>
      </c>
      <c r="AN17" s="621">
        <v>1.5155379930394432E-2</v>
      </c>
      <c r="AO17" s="554"/>
      <c r="AP17" s="554"/>
      <c r="AQ17" s="554"/>
      <c r="AR17" s="554"/>
      <c r="AS17" s="569">
        <v>0.5</v>
      </c>
      <c r="AT17" s="579">
        <v>0.56000000000000005</v>
      </c>
      <c r="AU17" s="620">
        <v>2.0899999999999998E-2</v>
      </c>
      <c r="AV17" s="621">
        <v>4.052936484918794E-2</v>
      </c>
      <c r="AW17" s="554"/>
      <c r="AX17" s="554"/>
      <c r="AY17" s="554"/>
      <c r="AZ17" s="554"/>
      <c r="BA17" s="569">
        <v>0.1</v>
      </c>
      <c r="BB17" s="579">
        <v>0.52</v>
      </c>
      <c r="BC17" s="620">
        <v>0.1666</v>
      </c>
      <c r="BD17" s="621">
        <v>5.4942720417633407E-3</v>
      </c>
      <c r="BE17" s="554"/>
      <c r="BF17" s="554"/>
      <c r="BG17" s="554"/>
      <c r="BH17" s="554"/>
      <c r="BI17" s="569">
        <v>0</v>
      </c>
      <c r="BJ17" s="579">
        <v>1.47</v>
      </c>
      <c r="BK17" s="620"/>
      <c r="BL17" s="621">
        <v>0</v>
      </c>
      <c r="BM17" s="554"/>
      <c r="BN17" s="554"/>
      <c r="BO17" s="554"/>
      <c r="BP17" s="554"/>
      <c r="BQ17" s="569">
        <v>0</v>
      </c>
      <c r="BR17" s="579">
        <v>0.96</v>
      </c>
      <c r="BS17" s="620"/>
      <c r="BT17" s="621">
        <v>5.1803944315545244E-3</v>
      </c>
      <c r="BU17" s="554"/>
      <c r="BV17" s="554"/>
      <c r="BW17" s="554"/>
      <c r="BX17" s="554"/>
      <c r="BY17" s="569">
        <v>0</v>
      </c>
      <c r="BZ17" s="579">
        <v>0.15</v>
      </c>
      <c r="CA17" s="620"/>
      <c r="CB17" s="621">
        <v>1.2999999999999999E-3</v>
      </c>
      <c r="CC17" s="554"/>
      <c r="CD17" s="554"/>
      <c r="CE17" s="554"/>
      <c r="CF17" s="554"/>
      <c r="CG17" s="569">
        <v>1.6</v>
      </c>
      <c r="CH17" s="579">
        <v>0.95</v>
      </c>
      <c r="CI17" s="620"/>
      <c r="CJ17" s="621">
        <v>2.0000000000000001E-4</v>
      </c>
      <c r="CK17" s="554"/>
      <c r="CL17" s="554"/>
      <c r="CM17" s="554"/>
      <c r="CN17" s="554"/>
      <c r="CO17" s="569">
        <v>0</v>
      </c>
      <c r="CP17" s="579"/>
      <c r="CQ17" s="620"/>
      <c r="CR17" s="621"/>
      <c r="CS17" s="554"/>
      <c r="CT17" s="554"/>
      <c r="CU17" s="554"/>
      <c r="CV17" s="554"/>
      <c r="CW17" s="569">
        <v>3.2</v>
      </c>
      <c r="CX17" s="579"/>
      <c r="CY17" s="620"/>
      <c r="CZ17" s="621"/>
      <c r="DA17" s="588"/>
      <c r="DB17" s="596"/>
      <c r="DC17" s="588"/>
      <c r="DD17" s="596"/>
      <c r="DE17" s="121">
        <f t="shared" si="2"/>
        <v>14.399999999999999</v>
      </c>
      <c r="DH17" s="657">
        <f t="shared" si="5"/>
        <v>0.20874815835266822</v>
      </c>
      <c r="DI17" s="657">
        <f t="shared" si="6"/>
        <v>0.83744815835266828</v>
      </c>
    </row>
    <row r="18" spans="1:113">
      <c r="A18" s="263">
        <v>4</v>
      </c>
      <c r="B18" s="268" t="s">
        <v>745</v>
      </c>
      <c r="C18" s="138">
        <v>96.62</v>
      </c>
      <c r="D18" s="138">
        <f t="shared" si="0"/>
        <v>96.62</v>
      </c>
      <c r="E18" s="138">
        <v>48</v>
      </c>
      <c r="F18" s="632">
        <v>0.1255</v>
      </c>
      <c r="G18" s="634">
        <f t="shared" si="1"/>
        <v>0.87449999999999994</v>
      </c>
      <c r="H18" s="556">
        <v>48</v>
      </c>
      <c r="I18" s="554"/>
      <c r="J18" s="554"/>
      <c r="K18" s="554"/>
      <c r="L18" s="554"/>
      <c r="M18" s="569">
        <v>3</v>
      </c>
      <c r="N18" s="579">
        <v>1.73</v>
      </c>
      <c r="O18" s="620">
        <v>3.3399999999999999E-2</v>
      </c>
      <c r="P18" s="621">
        <v>1.2200000000000001E-2</v>
      </c>
      <c r="Q18" s="554"/>
      <c r="R18" s="554"/>
      <c r="S18" s="554"/>
      <c r="T18" s="554"/>
      <c r="U18" s="569">
        <v>3</v>
      </c>
      <c r="V18" s="579">
        <v>3.31</v>
      </c>
      <c r="W18" s="620">
        <v>3.6200000000000003E-2</v>
      </c>
      <c r="X18" s="621">
        <v>2.2962776659959758E-2</v>
      </c>
      <c r="Y18" s="554"/>
      <c r="Z18" s="554"/>
      <c r="AA18" s="554"/>
      <c r="AB18" s="554"/>
      <c r="AC18" s="569">
        <v>3</v>
      </c>
      <c r="AD18" s="579">
        <v>0.53</v>
      </c>
      <c r="AE18" s="620">
        <v>2.4299999999999999E-2</v>
      </c>
      <c r="AF18" s="621">
        <v>3.2399999999999998E-2</v>
      </c>
      <c r="AG18" s="554"/>
      <c r="AH18" s="554"/>
      <c r="AI18" s="554"/>
      <c r="AJ18" s="554"/>
      <c r="AK18" s="569">
        <v>5</v>
      </c>
      <c r="AL18" s="579">
        <v>3.58</v>
      </c>
      <c r="AM18" s="620">
        <v>3.8800000000000001E-2</v>
      </c>
      <c r="AN18" s="621">
        <v>1.7641438911245248E-2</v>
      </c>
      <c r="AO18" s="554"/>
      <c r="AP18" s="554"/>
      <c r="AQ18" s="554"/>
      <c r="AR18" s="554"/>
      <c r="AS18" s="569">
        <v>5</v>
      </c>
      <c r="AT18" s="579">
        <v>3.1</v>
      </c>
      <c r="AU18" s="620">
        <v>6.7599999999999993E-2</v>
      </c>
      <c r="AV18" s="621">
        <v>1.653514839034205E-2</v>
      </c>
      <c r="AW18" s="554"/>
      <c r="AX18" s="554"/>
      <c r="AY18" s="554"/>
      <c r="AZ18" s="554"/>
      <c r="BA18" s="569">
        <v>5</v>
      </c>
      <c r="BB18" s="579">
        <v>2.34</v>
      </c>
      <c r="BC18" s="620">
        <v>0.1019</v>
      </c>
      <c r="BD18" s="621">
        <v>1.1877532413913166E-2</v>
      </c>
      <c r="BE18" s="554"/>
      <c r="BF18" s="554"/>
      <c r="BG18" s="554"/>
      <c r="BH18" s="554"/>
      <c r="BI18" s="569">
        <v>6</v>
      </c>
      <c r="BJ18" s="579">
        <v>7.67</v>
      </c>
      <c r="BK18" s="620">
        <v>0.1424</v>
      </c>
      <c r="BL18" s="621">
        <v>2.23E-2</v>
      </c>
      <c r="BM18" s="554"/>
      <c r="BN18" s="554"/>
      <c r="BO18" s="554"/>
      <c r="BP18" s="554"/>
      <c r="BQ18" s="569">
        <v>6</v>
      </c>
      <c r="BR18" s="579">
        <v>3.13</v>
      </c>
      <c r="BS18" s="620">
        <v>0.13850000000000001</v>
      </c>
      <c r="BT18" s="621">
        <v>1.4905699672400262E-2</v>
      </c>
      <c r="BU18" s="554"/>
      <c r="BV18" s="554"/>
      <c r="BW18" s="554"/>
      <c r="BX18" s="554"/>
      <c r="BY18" s="569">
        <v>5</v>
      </c>
      <c r="BZ18" s="579">
        <v>6.15</v>
      </c>
      <c r="CA18" s="620">
        <v>0.11409999999999999</v>
      </c>
      <c r="CB18" s="621">
        <v>7.5700000000000003E-2</v>
      </c>
      <c r="CC18" s="554"/>
      <c r="CD18" s="554"/>
      <c r="CE18" s="554"/>
      <c r="CF18" s="554"/>
      <c r="CG18" s="569">
        <v>2</v>
      </c>
      <c r="CH18" s="579">
        <v>5.41</v>
      </c>
      <c r="CI18" s="620">
        <v>0.1216</v>
      </c>
      <c r="CJ18" s="621">
        <v>0.1867</v>
      </c>
      <c r="CK18" s="554"/>
      <c r="CL18" s="554"/>
      <c r="CM18" s="554"/>
      <c r="CN18" s="554"/>
      <c r="CO18" s="569">
        <v>2</v>
      </c>
      <c r="CP18" s="579"/>
      <c r="CQ18" s="620">
        <v>5.57E-2</v>
      </c>
      <c r="CR18" s="621"/>
      <c r="CS18" s="554"/>
      <c r="CT18" s="554"/>
      <c r="CU18" s="554"/>
      <c r="CV18" s="554"/>
      <c r="CW18" s="569">
        <v>2</v>
      </c>
      <c r="CX18" s="579"/>
      <c r="CY18" s="620">
        <v>0</v>
      </c>
      <c r="CZ18" s="621"/>
      <c r="DA18" s="588"/>
      <c r="DB18" s="596"/>
      <c r="DC18" s="588"/>
      <c r="DD18" s="596"/>
      <c r="DE18" s="121">
        <f t="shared" si="2"/>
        <v>47</v>
      </c>
      <c r="DH18" s="657">
        <f t="shared" si="5"/>
        <v>0.41322259604786049</v>
      </c>
      <c r="DI18" s="657">
        <f t="shared" si="6"/>
        <v>0.53872259604786055</v>
      </c>
    </row>
    <row r="19" spans="1:113">
      <c r="A19" s="263">
        <v>5</v>
      </c>
      <c r="B19" s="268" t="s">
        <v>763</v>
      </c>
      <c r="C19" s="138">
        <v>0</v>
      </c>
      <c r="D19" s="138">
        <f t="shared" si="0"/>
        <v>0</v>
      </c>
      <c r="E19" s="138"/>
      <c r="F19" s="632"/>
      <c r="G19" s="634"/>
      <c r="H19" s="556">
        <v>0</v>
      </c>
      <c r="I19" s="554"/>
      <c r="J19" s="554"/>
      <c r="K19" s="554"/>
      <c r="L19" s="554"/>
      <c r="M19" s="569"/>
      <c r="N19" s="579"/>
      <c r="O19" s="620"/>
      <c r="P19" s="621"/>
      <c r="Q19" s="554"/>
      <c r="R19" s="554"/>
      <c r="S19" s="554"/>
      <c r="T19" s="554"/>
      <c r="U19" s="569"/>
      <c r="V19" s="579"/>
      <c r="W19" s="620"/>
      <c r="X19" s="621"/>
      <c r="Y19" s="554"/>
      <c r="Z19" s="554"/>
      <c r="AA19" s="554"/>
      <c r="AB19" s="554"/>
      <c r="AC19" s="569"/>
      <c r="AD19" s="579"/>
      <c r="AE19" s="620"/>
      <c r="AF19" s="621"/>
      <c r="AG19" s="554"/>
      <c r="AH19" s="554"/>
      <c r="AI19" s="554"/>
      <c r="AJ19" s="554"/>
      <c r="AK19" s="569"/>
      <c r="AL19" s="579"/>
      <c r="AM19" s="620"/>
      <c r="AN19" s="621"/>
      <c r="AO19" s="554"/>
      <c r="AP19" s="554"/>
      <c r="AQ19" s="554"/>
      <c r="AR19" s="554"/>
      <c r="AS19" s="569"/>
      <c r="AT19" s="579"/>
      <c r="AU19" s="620"/>
      <c r="AV19" s="621"/>
      <c r="AW19" s="554"/>
      <c r="AX19" s="554"/>
      <c r="AY19" s="554"/>
      <c r="AZ19" s="554"/>
      <c r="BA19" s="569"/>
      <c r="BB19" s="579"/>
      <c r="BC19" s="620"/>
      <c r="BD19" s="621"/>
      <c r="BE19" s="554"/>
      <c r="BF19" s="554"/>
      <c r="BG19" s="554"/>
      <c r="BH19" s="554"/>
      <c r="BI19" s="569"/>
      <c r="BJ19" s="579"/>
      <c r="BK19" s="620"/>
      <c r="BL19" s="621"/>
      <c r="BM19" s="554"/>
      <c r="BN19" s="554"/>
      <c r="BO19" s="554"/>
      <c r="BP19" s="554"/>
      <c r="BQ19" s="569"/>
      <c r="BR19" s="579"/>
      <c r="BS19" s="620"/>
      <c r="BT19" s="621"/>
      <c r="BU19" s="554"/>
      <c r="BV19" s="554"/>
      <c r="BW19" s="554"/>
      <c r="BX19" s="554"/>
      <c r="BY19" s="569"/>
      <c r="BZ19" s="579"/>
      <c r="CA19" s="620"/>
      <c r="CB19" s="621"/>
      <c r="CC19" s="554"/>
      <c r="CD19" s="554"/>
      <c r="CE19" s="554"/>
      <c r="CF19" s="554"/>
      <c r="CG19" s="569"/>
      <c r="CH19" s="579"/>
      <c r="CI19" s="620"/>
      <c r="CJ19" s="621"/>
      <c r="CK19" s="554"/>
      <c r="CL19" s="554"/>
      <c r="CM19" s="554"/>
      <c r="CN19" s="554"/>
      <c r="CO19" s="569"/>
      <c r="CP19" s="579"/>
      <c r="CQ19" s="620"/>
      <c r="CR19" s="621"/>
      <c r="CS19" s="554"/>
      <c r="CT19" s="554"/>
      <c r="CU19" s="554"/>
      <c r="CV19" s="554"/>
      <c r="CW19" s="569"/>
      <c r="CX19" s="579"/>
      <c r="CY19" s="620"/>
      <c r="CZ19" s="621"/>
      <c r="DA19" s="653"/>
      <c r="DB19" s="654"/>
      <c r="DC19" s="653"/>
      <c r="DD19" s="654"/>
      <c r="DH19" s="657">
        <f t="shared" si="5"/>
        <v>0</v>
      </c>
      <c r="DI19" s="657">
        <f t="shared" si="6"/>
        <v>0</v>
      </c>
    </row>
    <row r="20" spans="1:113">
      <c r="A20" s="263"/>
      <c r="B20" s="319" t="s">
        <v>746</v>
      </c>
      <c r="C20" s="138"/>
      <c r="D20" s="138"/>
      <c r="E20" s="138"/>
      <c r="F20" s="632"/>
      <c r="G20" s="138"/>
      <c r="H20" s="138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54"/>
      <c r="AB20" s="554"/>
      <c r="AC20" s="554"/>
      <c r="AD20" s="554"/>
      <c r="AE20" s="554"/>
      <c r="AF20" s="554"/>
      <c r="AG20" s="554"/>
      <c r="AH20" s="554"/>
      <c r="AI20" s="554"/>
      <c r="AJ20" s="554"/>
      <c r="AK20" s="554"/>
      <c r="AL20" s="554"/>
      <c r="AM20" s="554"/>
      <c r="AN20" s="554"/>
      <c r="AO20" s="554"/>
      <c r="AP20" s="554"/>
      <c r="AQ20" s="554"/>
      <c r="AR20" s="554"/>
      <c r="AS20" s="554"/>
      <c r="AT20" s="554"/>
      <c r="AU20" s="554"/>
      <c r="AV20" s="554"/>
      <c r="AW20" s="554"/>
      <c r="AX20" s="554"/>
      <c r="AY20" s="554"/>
      <c r="AZ20" s="554"/>
      <c r="BA20" s="554"/>
      <c r="BB20" s="554"/>
      <c r="BC20" s="554"/>
      <c r="BD20" s="554"/>
      <c r="BE20" s="554"/>
      <c r="BF20" s="554"/>
      <c r="BG20" s="554"/>
      <c r="BH20" s="554"/>
      <c r="BI20" s="554"/>
      <c r="BJ20" s="554"/>
      <c r="BK20" s="554"/>
      <c r="BL20" s="554"/>
      <c r="BM20" s="554"/>
      <c r="BN20" s="554"/>
      <c r="BO20" s="554"/>
      <c r="BP20" s="554"/>
      <c r="BQ20" s="554"/>
      <c r="BR20" s="554"/>
      <c r="BS20" s="554"/>
      <c r="BT20" s="554"/>
      <c r="BU20" s="554"/>
      <c r="BV20" s="554"/>
      <c r="BW20" s="554"/>
      <c r="BX20" s="554"/>
      <c r="BY20" s="554"/>
      <c r="BZ20" s="554"/>
      <c r="CA20" s="554"/>
      <c r="CB20" s="554"/>
      <c r="CC20" s="554"/>
      <c r="CD20" s="554"/>
      <c r="CE20" s="554"/>
      <c r="CF20" s="554"/>
      <c r="CG20" s="554"/>
      <c r="CH20" s="554"/>
      <c r="CI20" s="554"/>
      <c r="CJ20" s="554"/>
      <c r="CK20" s="554"/>
      <c r="CL20" s="554"/>
      <c r="CM20" s="554"/>
      <c r="CN20" s="554"/>
      <c r="CO20" s="554"/>
      <c r="CP20" s="554"/>
      <c r="CQ20" s="554"/>
      <c r="CR20" s="554"/>
      <c r="CS20" s="554"/>
      <c r="CT20" s="554"/>
      <c r="CU20" s="554"/>
      <c r="CV20" s="554"/>
      <c r="CW20" s="554"/>
      <c r="CX20" s="554"/>
      <c r="CY20" s="554"/>
      <c r="CZ20" s="554"/>
      <c r="DA20" s="121"/>
      <c r="DB20" s="121"/>
      <c r="DC20" s="121"/>
      <c r="DD20" s="121"/>
    </row>
    <row r="21" spans="1:113" s="131" customFormat="1" ht="15">
      <c r="A21" s="263"/>
      <c r="B21" s="502" t="s">
        <v>469</v>
      </c>
      <c r="C21" s="675"/>
      <c r="D21" s="138"/>
      <c r="E21" s="138"/>
      <c r="F21" s="632"/>
      <c r="G21" s="632"/>
      <c r="H21" s="138">
        <v>200</v>
      </c>
      <c r="I21" s="557"/>
      <c r="J21" s="557"/>
      <c r="K21" s="557"/>
      <c r="L21" s="557"/>
      <c r="M21" s="571">
        <v>12</v>
      </c>
      <c r="N21" s="581"/>
      <c r="O21" s="623"/>
      <c r="P21" s="624"/>
      <c r="Q21" s="557"/>
      <c r="R21" s="557"/>
      <c r="S21" s="557"/>
      <c r="T21" s="557"/>
      <c r="U21" s="571">
        <v>15</v>
      </c>
      <c r="V21" s="581"/>
      <c r="W21" s="623"/>
      <c r="X21" s="624"/>
      <c r="Y21" s="557"/>
      <c r="Z21" s="557"/>
      <c r="AA21" s="557"/>
      <c r="AB21" s="557"/>
      <c r="AC21" s="571">
        <v>15</v>
      </c>
      <c r="AD21" s="581"/>
      <c r="AE21" s="623"/>
      <c r="AF21" s="624"/>
      <c r="AG21" s="557"/>
      <c r="AH21" s="557"/>
      <c r="AI21" s="557"/>
      <c r="AJ21" s="557"/>
      <c r="AK21" s="571">
        <v>17</v>
      </c>
      <c r="AL21" s="581"/>
      <c r="AM21" s="623"/>
      <c r="AN21" s="624"/>
      <c r="AO21" s="557"/>
      <c r="AP21" s="557"/>
      <c r="AQ21" s="557"/>
      <c r="AR21" s="557"/>
      <c r="AS21" s="571">
        <v>15</v>
      </c>
      <c r="AT21" s="581"/>
      <c r="AU21" s="623"/>
      <c r="AV21" s="624"/>
      <c r="AW21" s="557"/>
      <c r="AX21" s="557"/>
      <c r="AY21" s="557"/>
      <c r="AZ21" s="557"/>
      <c r="BA21" s="571">
        <v>15</v>
      </c>
      <c r="BB21" s="581">
        <v>26.33</v>
      </c>
      <c r="BC21" s="623"/>
      <c r="BD21" s="624"/>
      <c r="BE21" s="557"/>
      <c r="BF21" s="557"/>
      <c r="BG21" s="557"/>
      <c r="BH21" s="557"/>
      <c r="BI21" s="571">
        <v>17</v>
      </c>
      <c r="BJ21" s="581">
        <v>29.41</v>
      </c>
      <c r="BK21" s="623"/>
      <c r="BL21" s="624"/>
      <c r="BM21" s="557"/>
      <c r="BN21" s="557"/>
      <c r="BO21" s="557"/>
      <c r="BP21" s="557"/>
      <c r="BQ21" s="571">
        <v>15</v>
      </c>
      <c r="BR21" s="581">
        <v>26.54</v>
      </c>
      <c r="BS21" s="623"/>
      <c r="BT21" s="624"/>
      <c r="BU21" s="557"/>
      <c r="BV21" s="557"/>
      <c r="BW21" s="557"/>
      <c r="BX21" s="557"/>
      <c r="BY21" s="571">
        <v>4</v>
      </c>
      <c r="BZ21" s="581">
        <v>27.08</v>
      </c>
      <c r="CA21" s="623"/>
      <c r="CB21" s="624"/>
      <c r="CC21" s="557"/>
      <c r="CD21" s="557"/>
      <c r="CE21" s="557"/>
      <c r="CF21" s="557"/>
      <c r="CG21" s="571">
        <v>20</v>
      </c>
      <c r="CH21" s="581">
        <v>7.69</v>
      </c>
      <c r="CI21" s="623"/>
      <c r="CJ21" s="624"/>
      <c r="CK21" s="557"/>
      <c r="CL21" s="557"/>
      <c r="CM21" s="557"/>
      <c r="CN21" s="557"/>
      <c r="CO21" s="571">
        <v>22</v>
      </c>
      <c r="CP21" s="581"/>
      <c r="CQ21" s="623"/>
      <c r="CR21" s="624"/>
      <c r="CS21" s="557"/>
      <c r="CT21" s="557"/>
      <c r="CU21" s="557"/>
      <c r="CV21" s="557"/>
      <c r="CW21" s="571">
        <v>22</v>
      </c>
      <c r="CX21" s="581"/>
      <c r="CY21" s="623"/>
      <c r="CZ21" s="624"/>
      <c r="DA21" s="589"/>
      <c r="DB21" s="597"/>
      <c r="DC21" s="589"/>
      <c r="DD21" s="597"/>
      <c r="DE21" s="121">
        <f t="shared" ref="DE21:DE22" si="7">M21+U21+AC21+AK21+AS21+BA21+BI21+BQ21+BY21+CG21+CO21+CW21</f>
        <v>189</v>
      </c>
      <c r="DH21" s="660"/>
    </row>
    <row r="22" spans="1:113" s="605" customFormat="1">
      <c r="A22" s="606" t="s">
        <v>29</v>
      </c>
      <c r="B22" s="600" t="s">
        <v>77</v>
      </c>
      <c r="C22" s="601">
        <f t="shared" ref="C22:H22" si="8">SUM(C15:C21)</f>
        <v>1705.0499999999997</v>
      </c>
      <c r="D22" s="601">
        <f t="shared" si="8"/>
        <v>1705.0499999999997</v>
      </c>
      <c r="E22" s="601">
        <f t="shared" si="8"/>
        <v>474.15</v>
      </c>
      <c r="F22" s="633"/>
      <c r="G22" s="633"/>
      <c r="H22" s="601">
        <f t="shared" si="8"/>
        <v>674.15</v>
      </c>
      <c r="I22" s="592"/>
      <c r="J22" s="592"/>
      <c r="K22" s="592"/>
      <c r="L22" s="592"/>
      <c r="M22" s="592">
        <f t="shared" ref="M22:N22" si="9">SUM(M15:M21)</f>
        <v>25.2</v>
      </c>
      <c r="N22" s="592">
        <f t="shared" si="9"/>
        <v>15.04</v>
      </c>
      <c r="O22" s="622"/>
      <c r="P22" s="622"/>
      <c r="Q22" s="592"/>
      <c r="R22" s="592"/>
      <c r="S22" s="592"/>
      <c r="T22" s="592"/>
      <c r="U22" s="592">
        <f t="shared" ref="U22:V22" si="10">SUM(U15:U21)</f>
        <v>49.6</v>
      </c>
      <c r="V22" s="592">
        <f t="shared" si="10"/>
        <v>34.409999999999997</v>
      </c>
      <c r="W22" s="622"/>
      <c r="X22" s="622"/>
      <c r="Y22" s="592"/>
      <c r="Z22" s="592"/>
      <c r="AA22" s="592"/>
      <c r="AB22" s="592"/>
      <c r="AC22" s="592">
        <f t="shared" ref="AC22:AD22" si="11">SUM(AC15:AC21)</f>
        <v>58.4</v>
      </c>
      <c r="AD22" s="592">
        <f t="shared" si="11"/>
        <v>39.29</v>
      </c>
      <c r="AE22" s="622"/>
      <c r="AF22" s="622"/>
      <c r="AG22" s="592"/>
      <c r="AH22" s="592"/>
      <c r="AI22" s="592"/>
      <c r="AJ22" s="592"/>
      <c r="AK22" s="592">
        <f t="shared" ref="AK22:AL22" si="12">SUM(AK15:AK21)</f>
        <v>62.8</v>
      </c>
      <c r="AL22" s="592">
        <f t="shared" si="12"/>
        <v>60.22</v>
      </c>
      <c r="AM22" s="622"/>
      <c r="AN22" s="622"/>
      <c r="AO22" s="592"/>
      <c r="AP22" s="592"/>
      <c r="AQ22" s="592"/>
      <c r="AR22" s="592"/>
      <c r="AS22" s="592">
        <f t="shared" ref="AS22:AT22" si="13">SUM(AS15:AS21)</f>
        <v>64.5</v>
      </c>
      <c r="AT22" s="592">
        <f t="shared" si="13"/>
        <v>43.53</v>
      </c>
      <c r="AU22" s="622"/>
      <c r="AV22" s="622"/>
      <c r="AW22" s="592"/>
      <c r="AX22" s="592"/>
      <c r="AY22" s="592"/>
      <c r="AZ22" s="592"/>
      <c r="BA22" s="592">
        <f t="shared" ref="BA22:BB22" si="14">SUM(BA15:BA21)</f>
        <v>64.099999999999994</v>
      </c>
      <c r="BB22" s="592">
        <f t="shared" si="14"/>
        <v>58.839999999999996</v>
      </c>
      <c r="BC22" s="622"/>
      <c r="BD22" s="622"/>
      <c r="BE22" s="592"/>
      <c r="BF22" s="592"/>
      <c r="BG22" s="592"/>
      <c r="BH22" s="592"/>
      <c r="BI22" s="592">
        <f t="shared" ref="BI22:BJ22" si="15">SUM(BI15:BI21)</f>
        <v>65</v>
      </c>
      <c r="BJ22" s="592">
        <f t="shared" si="15"/>
        <v>100.38</v>
      </c>
      <c r="BK22" s="622"/>
      <c r="BL22" s="622"/>
      <c r="BM22" s="592"/>
      <c r="BN22" s="592"/>
      <c r="BO22" s="592"/>
      <c r="BP22" s="592"/>
      <c r="BQ22" s="592">
        <f t="shared" ref="BQ22:BR22" si="16">SUM(BQ15:BQ21)</f>
        <v>62</v>
      </c>
      <c r="BR22" s="592">
        <f t="shared" si="16"/>
        <v>53.28</v>
      </c>
      <c r="BS22" s="622"/>
      <c r="BT22" s="622"/>
      <c r="BU22" s="592"/>
      <c r="BV22" s="592"/>
      <c r="BW22" s="592"/>
      <c r="BX22" s="592"/>
      <c r="BY22" s="592">
        <f t="shared" ref="BY22:BZ22" si="17">SUM(BY15:BY21)</f>
        <v>39</v>
      </c>
      <c r="BZ22" s="592">
        <f t="shared" si="17"/>
        <v>54.8</v>
      </c>
      <c r="CA22" s="622"/>
      <c r="CB22" s="622"/>
      <c r="CC22" s="592"/>
      <c r="CD22" s="592"/>
      <c r="CE22" s="592"/>
      <c r="CF22" s="592"/>
      <c r="CG22" s="592">
        <f t="shared" ref="CG22:CH22" si="18">SUM(CG15:CG21)</f>
        <v>59.1</v>
      </c>
      <c r="CH22" s="592">
        <f t="shared" si="18"/>
        <v>43.61</v>
      </c>
      <c r="CI22" s="622"/>
      <c r="CJ22" s="622"/>
      <c r="CK22" s="592"/>
      <c r="CL22" s="592"/>
      <c r="CM22" s="592"/>
      <c r="CN22" s="592"/>
      <c r="CO22" s="592">
        <f t="shared" ref="CO22:CP22" si="19">SUM(CO15:CO21)</f>
        <v>54.5</v>
      </c>
      <c r="CP22" s="592">
        <f t="shared" si="19"/>
        <v>0</v>
      </c>
      <c r="CQ22" s="622"/>
      <c r="CR22" s="622"/>
      <c r="CS22" s="592"/>
      <c r="CT22" s="592"/>
      <c r="CU22" s="592"/>
      <c r="CV22" s="592"/>
      <c r="CW22" s="592">
        <f t="shared" ref="CW22:CX22" si="20">SUM(CW15:CW21)</f>
        <v>55.2</v>
      </c>
      <c r="CX22" s="592">
        <f t="shared" si="20"/>
        <v>0</v>
      </c>
      <c r="CY22" s="622"/>
      <c r="CZ22" s="622"/>
      <c r="DA22" s="592"/>
      <c r="DB22" s="592"/>
      <c r="DC22" s="602"/>
      <c r="DD22" s="602"/>
      <c r="DE22" s="121">
        <f t="shared" si="7"/>
        <v>659.40000000000009</v>
      </c>
      <c r="DH22" s="661"/>
    </row>
    <row r="23" spans="1:113">
      <c r="A23" s="263"/>
      <c r="B23" s="158"/>
      <c r="C23" s="553"/>
      <c r="D23" s="553"/>
      <c r="E23" s="553"/>
      <c r="F23" s="631"/>
      <c r="G23" s="553"/>
      <c r="H23" s="553"/>
      <c r="I23" s="555"/>
      <c r="J23" s="555"/>
      <c r="K23" s="555"/>
      <c r="L23" s="555"/>
      <c r="M23" s="555"/>
      <c r="N23" s="555"/>
      <c r="O23" s="555"/>
      <c r="P23" s="555"/>
      <c r="Q23" s="555"/>
      <c r="R23" s="555"/>
      <c r="S23" s="555"/>
      <c r="T23" s="555"/>
      <c r="U23" s="555"/>
      <c r="V23" s="555"/>
      <c r="W23" s="555"/>
      <c r="X23" s="555"/>
      <c r="Y23" s="555"/>
      <c r="Z23" s="555"/>
      <c r="AA23" s="555"/>
      <c r="AB23" s="555"/>
      <c r="AC23" s="555"/>
      <c r="AD23" s="555"/>
      <c r="AE23" s="555"/>
      <c r="AF23" s="555"/>
      <c r="AG23" s="555"/>
      <c r="AH23" s="555"/>
      <c r="AI23" s="555"/>
      <c r="AJ23" s="555"/>
      <c r="AK23" s="555"/>
      <c r="AL23" s="555"/>
      <c r="AM23" s="555"/>
      <c r="AN23" s="555"/>
      <c r="AO23" s="555"/>
      <c r="AP23" s="555"/>
      <c r="AQ23" s="555"/>
      <c r="AR23" s="555"/>
      <c r="AS23" s="555"/>
      <c r="AT23" s="555"/>
      <c r="AU23" s="555"/>
      <c r="AV23" s="555"/>
      <c r="AW23" s="555"/>
      <c r="AX23" s="555"/>
      <c r="AY23" s="555"/>
      <c r="AZ23" s="555"/>
      <c r="BA23" s="555"/>
      <c r="BB23" s="555"/>
      <c r="BC23" s="555"/>
      <c r="BD23" s="555"/>
      <c r="BE23" s="555"/>
      <c r="BF23" s="555"/>
      <c r="BG23" s="555"/>
      <c r="BH23" s="555"/>
      <c r="BI23" s="555"/>
      <c r="BJ23" s="555"/>
      <c r="BK23" s="555"/>
      <c r="BL23" s="555"/>
      <c r="BM23" s="555"/>
      <c r="BN23" s="555"/>
      <c r="BO23" s="555"/>
      <c r="BP23" s="555"/>
      <c r="BQ23" s="555"/>
      <c r="BR23" s="555"/>
      <c r="BS23" s="555"/>
      <c r="BT23" s="555"/>
      <c r="BU23" s="555"/>
      <c r="BV23" s="555"/>
      <c r="BW23" s="555"/>
      <c r="BX23" s="555"/>
      <c r="BY23" s="555"/>
      <c r="BZ23" s="555"/>
      <c r="CA23" s="555"/>
      <c r="CB23" s="555"/>
      <c r="CC23" s="555"/>
      <c r="CD23" s="555"/>
      <c r="CE23" s="555"/>
      <c r="CF23" s="555"/>
      <c r="CG23" s="555"/>
      <c r="CH23" s="555"/>
      <c r="CI23" s="555"/>
      <c r="CJ23" s="555"/>
      <c r="CK23" s="555"/>
      <c r="CL23" s="555"/>
      <c r="CM23" s="555"/>
      <c r="CN23" s="555"/>
      <c r="CO23" s="555"/>
      <c r="CP23" s="555"/>
      <c r="CQ23" s="555"/>
      <c r="CR23" s="555"/>
      <c r="CS23" s="555"/>
      <c r="CT23" s="555"/>
      <c r="CU23" s="555"/>
      <c r="CV23" s="555"/>
      <c r="CW23" s="555"/>
      <c r="CX23" s="555"/>
      <c r="CY23" s="555"/>
      <c r="CZ23" s="555"/>
      <c r="DA23" s="121"/>
      <c r="DB23" s="121"/>
      <c r="DC23" s="121"/>
      <c r="DD23" s="121"/>
    </row>
    <row r="24" spans="1:113">
      <c r="A24" s="519" t="s">
        <v>688</v>
      </c>
      <c r="B24" s="517" t="s">
        <v>703</v>
      </c>
      <c r="C24" s="553"/>
      <c r="D24" s="553"/>
      <c r="E24" s="553"/>
      <c r="F24" s="631"/>
      <c r="G24" s="553"/>
      <c r="H24" s="553"/>
      <c r="I24" s="555"/>
      <c r="J24" s="555"/>
      <c r="K24" s="555"/>
      <c r="L24" s="555"/>
      <c r="M24" s="555"/>
      <c r="N24" s="555"/>
      <c r="O24" s="555"/>
      <c r="P24" s="555"/>
      <c r="Q24" s="555"/>
      <c r="R24" s="555"/>
      <c r="S24" s="555"/>
      <c r="T24" s="555"/>
      <c r="U24" s="555"/>
      <c r="V24" s="555"/>
      <c r="W24" s="555"/>
      <c r="X24" s="555"/>
      <c r="Y24" s="555"/>
      <c r="Z24" s="555"/>
      <c r="AA24" s="555"/>
      <c r="AB24" s="555"/>
      <c r="AC24" s="555"/>
      <c r="AD24" s="555"/>
      <c r="AE24" s="555"/>
      <c r="AF24" s="555"/>
      <c r="AG24" s="555"/>
      <c r="AH24" s="555"/>
      <c r="AI24" s="555"/>
      <c r="AJ24" s="555"/>
      <c r="AK24" s="555"/>
      <c r="AL24" s="555"/>
      <c r="AM24" s="555"/>
      <c r="AN24" s="555"/>
      <c r="AO24" s="555"/>
      <c r="AP24" s="555"/>
      <c r="AQ24" s="555"/>
      <c r="AR24" s="555"/>
      <c r="AS24" s="555"/>
      <c r="AT24" s="555"/>
      <c r="AU24" s="555"/>
      <c r="AV24" s="555"/>
      <c r="AW24" s="555"/>
      <c r="AX24" s="555"/>
      <c r="AY24" s="555"/>
      <c r="AZ24" s="555"/>
      <c r="BA24" s="555"/>
      <c r="BB24" s="555"/>
      <c r="BC24" s="555"/>
      <c r="BD24" s="555"/>
      <c r="BE24" s="555"/>
      <c r="BF24" s="555"/>
      <c r="BG24" s="555"/>
      <c r="BH24" s="555"/>
      <c r="BI24" s="555"/>
      <c r="BJ24" s="555"/>
      <c r="BK24" s="555"/>
      <c r="BL24" s="555"/>
      <c r="BM24" s="555"/>
      <c r="BN24" s="555"/>
      <c r="BO24" s="555"/>
      <c r="BP24" s="555"/>
      <c r="BQ24" s="555"/>
      <c r="BR24" s="555"/>
      <c r="BS24" s="555"/>
      <c r="BT24" s="555"/>
      <c r="BU24" s="555"/>
      <c r="BV24" s="555"/>
      <c r="BW24" s="555"/>
      <c r="BX24" s="555"/>
      <c r="BY24" s="555"/>
      <c r="BZ24" s="555"/>
      <c r="CA24" s="555"/>
      <c r="CB24" s="555"/>
      <c r="CC24" s="555"/>
      <c r="CD24" s="555"/>
      <c r="CE24" s="555"/>
      <c r="CF24" s="555"/>
      <c r="CG24" s="555"/>
      <c r="CH24" s="555"/>
      <c r="CI24" s="555"/>
      <c r="CJ24" s="555"/>
      <c r="CK24" s="555"/>
      <c r="CL24" s="555"/>
      <c r="CM24" s="555"/>
      <c r="CN24" s="555"/>
      <c r="CO24" s="555"/>
      <c r="CP24" s="555"/>
      <c r="CQ24" s="555"/>
      <c r="CR24" s="555"/>
      <c r="CS24" s="555"/>
      <c r="CT24" s="555"/>
      <c r="CU24" s="555"/>
      <c r="CV24" s="555"/>
      <c r="CW24" s="555"/>
      <c r="CX24" s="555"/>
      <c r="CY24" s="555"/>
      <c r="CZ24" s="555"/>
      <c r="DA24" s="121"/>
      <c r="DB24" s="121"/>
      <c r="DC24" s="121"/>
      <c r="DD24" s="121"/>
    </row>
    <row r="25" spans="1:113">
      <c r="A25" s="158"/>
      <c r="B25" s="517" t="s">
        <v>691</v>
      </c>
      <c r="C25" s="558"/>
      <c r="D25" s="558"/>
      <c r="E25" s="558"/>
      <c r="F25" s="631"/>
      <c r="G25" s="553"/>
      <c r="H25" s="553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55"/>
      <c r="AB25" s="555"/>
      <c r="AC25" s="555"/>
      <c r="AD25" s="555"/>
      <c r="AE25" s="555"/>
      <c r="AF25" s="555"/>
      <c r="AG25" s="555"/>
      <c r="AH25" s="555"/>
      <c r="AI25" s="555"/>
      <c r="AJ25" s="555"/>
      <c r="AK25" s="555"/>
      <c r="AL25" s="555"/>
      <c r="AM25" s="555"/>
      <c r="AN25" s="555"/>
      <c r="AO25" s="555"/>
      <c r="AP25" s="555"/>
      <c r="AQ25" s="555"/>
      <c r="AR25" s="555"/>
      <c r="AS25" s="555"/>
      <c r="AT25" s="555"/>
      <c r="AU25" s="555"/>
      <c r="AV25" s="555"/>
      <c r="AW25" s="555"/>
      <c r="AX25" s="555"/>
      <c r="AY25" s="555"/>
      <c r="AZ25" s="555"/>
      <c r="BA25" s="555"/>
      <c r="BB25" s="555"/>
      <c r="BC25" s="555"/>
      <c r="BD25" s="555"/>
      <c r="BE25" s="555"/>
      <c r="BF25" s="555"/>
      <c r="BG25" s="555"/>
      <c r="BH25" s="555"/>
      <c r="BI25" s="555"/>
      <c r="BJ25" s="555"/>
      <c r="BK25" s="555"/>
      <c r="BL25" s="555"/>
      <c r="BM25" s="555"/>
      <c r="BN25" s="555"/>
      <c r="BO25" s="555"/>
      <c r="BP25" s="555"/>
      <c r="BQ25" s="555"/>
      <c r="BR25" s="555"/>
      <c r="BS25" s="555"/>
      <c r="BT25" s="555"/>
      <c r="BU25" s="555"/>
      <c r="BV25" s="555"/>
      <c r="BW25" s="555"/>
      <c r="BX25" s="555"/>
      <c r="BY25" s="555"/>
      <c r="BZ25" s="555"/>
      <c r="CA25" s="555"/>
      <c r="CB25" s="555"/>
      <c r="CC25" s="555"/>
      <c r="CD25" s="555"/>
      <c r="CE25" s="555"/>
      <c r="CF25" s="555"/>
      <c r="CG25" s="555"/>
      <c r="CH25" s="555"/>
      <c r="CI25" s="555"/>
      <c r="CJ25" s="555"/>
      <c r="CK25" s="555"/>
      <c r="CL25" s="555"/>
      <c r="CM25" s="555"/>
      <c r="CN25" s="555"/>
      <c r="CO25" s="555"/>
      <c r="CP25" s="555"/>
      <c r="CQ25" s="555"/>
      <c r="CR25" s="555"/>
      <c r="CS25" s="555"/>
      <c r="CT25" s="555"/>
      <c r="CU25" s="555"/>
      <c r="CV25" s="555"/>
      <c r="CW25" s="555"/>
      <c r="CX25" s="555"/>
      <c r="CY25" s="555"/>
      <c r="CZ25" s="555"/>
      <c r="DA25" s="121"/>
      <c r="DB25" s="121"/>
      <c r="DC25" s="121"/>
      <c r="DD25" s="121"/>
    </row>
    <row r="26" spans="1:113">
      <c r="A26" s="263"/>
      <c r="B26" s="158"/>
      <c r="C26" s="553"/>
      <c r="D26" s="553"/>
      <c r="E26" s="553"/>
      <c r="F26" s="631"/>
      <c r="G26" s="553"/>
      <c r="H26" s="553"/>
      <c r="I26" s="555"/>
      <c r="J26" s="555"/>
      <c r="K26" s="555"/>
      <c r="L26" s="555"/>
      <c r="M26" s="555"/>
      <c r="N26" s="555"/>
      <c r="O26" s="555"/>
      <c r="P26" s="555"/>
      <c r="Q26" s="555"/>
      <c r="R26" s="555"/>
      <c r="S26" s="555"/>
      <c r="T26" s="555"/>
      <c r="U26" s="555"/>
      <c r="V26" s="555"/>
      <c r="W26" s="555"/>
      <c r="X26" s="555"/>
      <c r="Y26" s="555"/>
      <c r="Z26" s="555"/>
      <c r="AA26" s="555"/>
      <c r="AB26" s="555"/>
      <c r="AC26" s="555"/>
      <c r="AD26" s="555"/>
      <c r="AE26" s="555"/>
      <c r="AF26" s="555"/>
      <c r="AG26" s="555"/>
      <c r="AH26" s="555"/>
      <c r="AI26" s="555"/>
      <c r="AJ26" s="555"/>
      <c r="AK26" s="555"/>
      <c r="AL26" s="555"/>
      <c r="AM26" s="555"/>
      <c r="AN26" s="555"/>
      <c r="AO26" s="555"/>
      <c r="AP26" s="555"/>
      <c r="AQ26" s="555"/>
      <c r="AR26" s="555"/>
      <c r="AS26" s="555"/>
      <c r="AT26" s="555"/>
      <c r="AU26" s="555"/>
      <c r="AV26" s="555"/>
      <c r="AW26" s="555"/>
      <c r="AX26" s="555"/>
      <c r="AY26" s="555"/>
      <c r="AZ26" s="555"/>
      <c r="BA26" s="555"/>
      <c r="BB26" s="555"/>
      <c r="BC26" s="555"/>
      <c r="BD26" s="555"/>
      <c r="BE26" s="555"/>
      <c r="BF26" s="555"/>
      <c r="BG26" s="555"/>
      <c r="BH26" s="555"/>
      <c r="BI26" s="555"/>
      <c r="BJ26" s="555"/>
      <c r="BK26" s="555"/>
      <c r="BL26" s="555"/>
      <c r="BM26" s="555"/>
      <c r="BN26" s="555"/>
      <c r="BO26" s="555"/>
      <c r="BP26" s="555"/>
      <c r="BQ26" s="555"/>
      <c r="BR26" s="555"/>
      <c r="BS26" s="555"/>
      <c r="BT26" s="555"/>
      <c r="BU26" s="555"/>
      <c r="BV26" s="555"/>
      <c r="BW26" s="555"/>
      <c r="BX26" s="555"/>
      <c r="BY26" s="555"/>
      <c r="BZ26" s="555"/>
      <c r="CA26" s="555"/>
      <c r="CB26" s="555"/>
      <c r="CC26" s="555"/>
      <c r="CD26" s="555"/>
      <c r="CE26" s="555"/>
      <c r="CF26" s="555"/>
      <c r="CG26" s="555"/>
      <c r="CH26" s="555"/>
      <c r="CI26" s="555"/>
      <c r="CJ26" s="555"/>
      <c r="CK26" s="555"/>
      <c r="CL26" s="555"/>
      <c r="CM26" s="555"/>
      <c r="CN26" s="555"/>
      <c r="CO26" s="555"/>
      <c r="CP26" s="555"/>
      <c r="CQ26" s="555"/>
      <c r="CR26" s="555"/>
      <c r="CS26" s="555"/>
      <c r="CT26" s="555"/>
      <c r="CU26" s="555"/>
      <c r="CV26" s="555"/>
      <c r="CW26" s="555"/>
      <c r="CX26" s="555"/>
      <c r="CY26" s="555"/>
      <c r="CZ26" s="555"/>
      <c r="DA26" s="121"/>
      <c r="DB26" s="121"/>
      <c r="DC26" s="121"/>
      <c r="DD26" s="121"/>
    </row>
    <row r="27" spans="1:113" s="612" customFormat="1">
      <c r="A27" s="599"/>
      <c r="B27" s="600" t="s">
        <v>680</v>
      </c>
      <c r="C27" s="601">
        <f>C6+C12+C22</f>
        <v>16103.22</v>
      </c>
      <c r="D27" s="601">
        <f>D6+D12+D22</f>
        <v>16103.22</v>
      </c>
      <c r="E27" s="601">
        <f>E6+E12+E22</f>
        <v>14796.699999999999</v>
      </c>
      <c r="F27" s="633"/>
      <c r="G27" s="633"/>
      <c r="H27" s="601">
        <f>H6+H12+H22</f>
        <v>689.65</v>
      </c>
      <c r="I27" s="592"/>
      <c r="J27" s="592"/>
      <c r="K27" s="592"/>
      <c r="L27" s="592"/>
      <c r="M27" s="592">
        <f>M6+M12+M22</f>
        <v>26</v>
      </c>
      <c r="N27" s="592">
        <f>N6+N12+N22</f>
        <v>19.39</v>
      </c>
      <c r="O27" s="622"/>
      <c r="P27" s="622"/>
      <c r="Q27" s="592"/>
      <c r="R27" s="592"/>
      <c r="S27" s="592"/>
      <c r="T27" s="592"/>
      <c r="U27" s="592">
        <f>U6+U12+U22</f>
        <v>50</v>
      </c>
      <c r="V27" s="592">
        <f>V6+V12+V22</f>
        <v>34.409999999999997</v>
      </c>
      <c r="W27" s="622"/>
      <c r="X27" s="622"/>
      <c r="Y27" s="592"/>
      <c r="Z27" s="592"/>
      <c r="AA27" s="592"/>
      <c r="AB27" s="592"/>
      <c r="AC27" s="592">
        <f>AC6+AC12+AC22</f>
        <v>63</v>
      </c>
      <c r="AD27" s="592">
        <f>AD6+AD12+AD22</f>
        <v>40.869999999999997</v>
      </c>
      <c r="AE27" s="622"/>
      <c r="AF27" s="622"/>
      <c r="AG27" s="592"/>
      <c r="AH27" s="592"/>
      <c r="AI27" s="592"/>
      <c r="AJ27" s="592"/>
      <c r="AK27" s="592">
        <f>AK6+AK12+AK22</f>
        <v>64</v>
      </c>
      <c r="AL27" s="592">
        <f>AL6+AL12+AL22</f>
        <v>60.66</v>
      </c>
      <c r="AM27" s="622"/>
      <c r="AN27" s="622"/>
      <c r="AO27" s="592"/>
      <c r="AP27" s="592"/>
      <c r="AQ27" s="592"/>
      <c r="AR27" s="592"/>
      <c r="AS27" s="592">
        <f>AS6+AS12+AS22</f>
        <v>65</v>
      </c>
      <c r="AT27" s="592">
        <f>AT6+AT12+AT22</f>
        <v>43.910000000000004</v>
      </c>
      <c r="AU27" s="622"/>
      <c r="AV27" s="622"/>
      <c r="AW27" s="592"/>
      <c r="AX27" s="592"/>
      <c r="AY27" s="592"/>
      <c r="AZ27" s="592"/>
      <c r="BA27" s="592">
        <f>BA6+BA12+BA22</f>
        <v>65</v>
      </c>
      <c r="BB27" s="592">
        <f>BB6+BB12+BB22</f>
        <v>59.48</v>
      </c>
      <c r="BC27" s="622"/>
      <c r="BD27" s="622"/>
      <c r="BE27" s="592"/>
      <c r="BF27" s="592"/>
      <c r="BG27" s="592"/>
      <c r="BH27" s="592"/>
      <c r="BI27" s="592">
        <f>BI6+BI12+BI22</f>
        <v>65.400000000000006</v>
      </c>
      <c r="BJ27" s="592">
        <f>BJ6+BJ12+BJ22</f>
        <v>100.47999999999999</v>
      </c>
      <c r="BK27" s="622"/>
      <c r="BL27" s="622"/>
      <c r="BM27" s="592"/>
      <c r="BN27" s="592"/>
      <c r="BO27" s="592"/>
      <c r="BP27" s="592"/>
      <c r="BQ27" s="592">
        <f>BQ6+BQ12+BQ22</f>
        <v>62.8</v>
      </c>
      <c r="BR27" s="592">
        <f>BR6+BR12+BR22</f>
        <v>53.46</v>
      </c>
      <c r="BS27" s="622"/>
      <c r="BT27" s="622"/>
      <c r="BU27" s="592"/>
      <c r="BV27" s="592"/>
      <c r="BW27" s="592"/>
      <c r="BX27" s="592"/>
      <c r="BY27" s="592">
        <f>BY6+BY12+BY22</f>
        <v>39</v>
      </c>
      <c r="BZ27" s="592">
        <f>BZ6+BZ12+BZ22</f>
        <v>54.971864999999994</v>
      </c>
      <c r="CA27" s="622"/>
      <c r="CB27" s="622"/>
      <c r="CC27" s="592"/>
      <c r="CD27" s="592"/>
      <c r="CE27" s="592"/>
      <c r="CF27" s="592"/>
      <c r="CG27" s="592">
        <f>CG6+CG12+CG22</f>
        <v>60</v>
      </c>
      <c r="CH27" s="592">
        <f>CH6+CH12+CH22</f>
        <v>43.75</v>
      </c>
      <c r="CI27" s="622"/>
      <c r="CJ27" s="622"/>
      <c r="CK27" s="592"/>
      <c r="CL27" s="592"/>
      <c r="CM27" s="592"/>
      <c r="CN27" s="592"/>
      <c r="CO27" s="592">
        <f>CO6+CO12+CO22</f>
        <v>54.8</v>
      </c>
      <c r="CP27" s="592">
        <f>CP6+CP12+CP22</f>
        <v>0</v>
      </c>
      <c r="CQ27" s="622"/>
      <c r="CR27" s="622"/>
      <c r="CS27" s="592"/>
      <c r="CT27" s="592"/>
      <c r="CU27" s="592"/>
      <c r="CV27" s="592"/>
      <c r="CW27" s="592">
        <f>CW6+CW12+CW22</f>
        <v>59.650000000000006</v>
      </c>
      <c r="CX27" s="592">
        <f>CX6+CX12+CX22</f>
        <v>0</v>
      </c>
      <c r="CY27" s="622"/>
      <c r="CZ27" s="622"/>
      <c r="DA27" s="592"/>
      <c r="DB27" s="592"/>
      <c r="DC27" s="602"/>
      <c r="DD27" s="602"/>
      <c r="DE27" s="121">
        <f>M27+U27+AC27+AK27+AS27+BA27+BI27+BQ27+BY27+CG27+CO27+CW27</f>
        <v>674.65</v>
      </c>
      <c r="DH27" s="662"/>
    </row>
    <row r="28" spans="1:113" s="128" customFormat="1">
      <c r="A28" s="499"/>
      <c r="B28" s="158"/>
      <c r="C28" s="553"/>
      <c r="D28" s="553"/>
      <c r="E28" s="553"/>
      <c r="F28" s="631"/>
      <c r="G28" s="553"/>
      <c r="H28" s="553"/>
      <c r="I28" s="554"/>
      <c r="J28" s="554"/>
      <c r="K28" s="554"/>
      <c r="L28" s="554"/>
      <c r="M28" s="554"/>
      <c r="N28" s="554"/>
      <c r="O28" s="554"/>
      <c r="P28" s="554"/>
      <c r="Q28" s="554"/>
      <c r="R28" s="554"/>
      <c r="S28" s="554"/>
      <c r="T28" s="554"/>
      <c r="U28" s="554"/>
      <c r="V28" s="554"/>
      <c r="W28" s="554"/>
      <c r="X28" s="554"/>
      <c r="Y28" s="554"/>
      <c r="Z28" s="554"/>
      <c r="AA28" s="554"/>
      <c r="AB28" s="554"/>
      <c r="AC28" s="554"/>
      <c r="AD28" s="554"/>
      <c r="AE28" s="554"/>
      <c r="AF28" s="554"/>
      <c r="AG28" s="554"/>
      <c r="AH28" s="554"/>
      <c r="AI28" s="554"/>
      <c r="AJ28" s="554"/>
      <c r="AK28" s="554"/>
      <c r="AL28" s="554"/>
      <c r="AM28" s="554"/>
      <c r="AN28" s="554"/>
      <c r="AO28" s="554"/>
      <c r="AP28" s="554"/>
      <c r="AQ28" s="554"/>
      <c r="AR28" s="554"/>
      <c r="AS28" s="554"/>
      <c r="AT28" s="554"/>
      <c r="AU28" s="554"/>
      <c r="AV28" s="554"/>
      <c r="AW28" s="554"/>
      <c r="AX28" s="554"/>
      <c r="AY28" s="554"/>
      <c r="AZ28" s="554"/>
      <c r="BA28" s="554"/>
      <c r="BB28" s="554"/>
      <c r="BC28" s="554"/>
      <c r="BD28" s="554"/>
      <c r="BE28" s="554"/>
      <c r="BF28" s="554"/>
      <c r="BG28" s="554"/>
      <c r="BH28" s="554"/>
      <c r="BI28" s="554"/>
      <c r="BJ28" s="554"/>
      <c r="BK28" s="554"/>
      <c r="BL28" s="554"/>
      <c r="BM28" s="554"/>
      <c r="BN28" s="554"/>
      <c r="BO28" s="554"/>
      <c r="BP28" s="554"/>
      <c r="BQ28" s="554"/>
      <c r="BR28" s="554"/>
      <c r="BS28" s="554"/>
      <c r="BT28" s="554"/>
      <c r="BU28" s="554"/>
      <c r="BV28" s="554"/>
      <c r="BW28" s="554"/>
      <c r="BX28" s="554"/>
      <c r="BY28" s="554"/>
      <c r="BZ28" s="554"/>
      <c r="CA28" s="554"/>
      <c r="CB28" s="554"/>
      <c r="CC28" s="554"/>
      <c r="CD28" s="554"/>
      <c r="CE28" s="554"/>
      <c r="CF28" s="554"/>
      <c r="CG28" s="554"/>
      <c r="CH28" s="554"/>
      <c r="CI28" s="554"/>
      <c r="CJ28" s="554"/>
      <c r="CK28" s="554"/>
      <c r="CL28" s="554"/>
      <c r="CM28" s="554"/>
      <c r="CN28" s="554"/>
      <c r="CO28" s="554"/>
      <c r="CP28" s="554"/>
      <c r="CQ28" s="554"/>
      <c r="CR28" s="554"/>
      <c r="CS28" s="554"/>
      <c r="CT28" s="554"/>
      <c r="CU28" s="554"/>
      <c r="CV28" s="554"/>
      <c r="CW28" s="554"/>
      <c r="CX28" s="554"/>
      <c r="CY28" s="554"/>
      <c r="CZ28" s="554"/>
      <c r="DH28" s="659"/>
    </row>
    <row r="29" spans="1:113">
      <c r="A29" s="499" t="s">
        <v>70</v>
      </c>
      <c r="B29" s="190" t="s">
        <v>472</v>
      </c>
      <c r="C29" s="138"/>
      <c r="D29" s="138"/>
      <c r="E29" s="138"/>
      <c r="F29" s="632"/>
      <c r="G29" s="138"/>
      <c r="H29" s="138"/>
      <c r="I29" s="554"/>
      <c r="J29" s="554"/>
      <c r="K29" s="554"/>
      <c r="L29" s="554"/>
      <c r="M29" s="554"/>
      <c r="N29" s="554"/>
      <c r="O29" s="554"/>
      <c r="P29" s="554"/>
      <c r="Q29" s="554"/>
      <c r="R29" s="554"/>
      <c r="S29" s="554"/>
      <c r="T29" s="554"/>
      <c r="U29" s="554"/>
      <c r="V29" s="554"/>
      <c r="W29" s="554"/>
      <c r="X29" s="554"/>
      <c r="Y29" s="554"/>
      <c r="Z29" s="554"/>
      <c r="AA29" s="554"/>
      <c r="AB29" s="554"/>
      <c r="AC29" s="554"/>
      <c r="AD29" s="554"/>
      <c r="AE29" s="554"/>
      <c r="AF29" s="554"/>
      <c r="AG29" s="554"/>
      <c r="AH29" s="554"/>
      <c r="AI29" s="554"/>
      <c r="AJ29" s="554"/>
      <c r="AK29" s="554"/>
      <c r="AL29" s="554"/>
      <c r="AM29" s="554"/>
      <c r="AN29" s="554"/>
      <c r="AO29" s="554"/>
      <c r="AP29" s="554"/>
      <c r="AQ29" s="554"/>
      <c r="AR29" s="554"/>
      <c r="AS29" s="554"/>
      <c r="AT29" s="554"/>
      <c r="AU29" s="554"/>
      <c r="AV29" s="554"/>
      <c r="AW29" s="554"/>
      <c r="AX29" s="554"/>
      <c r="AY29" s="554"/>
      <c r="AZ29" s="554"/>
      <c r="BA29" s="554"/>
      <c r="BB29" s="554"/>
      <c r="BC29" s="554"/>
      <c r="BD29" s="554"/>
      <c r="BE29" s="554"/>
      <c r="BF29" s="554"/>
      <c r="BG29" s="554"/>
      <c r="BH29" s="554"/>
      <c r="BI29" s="554"/>
      <c r="BJ29" s="554"/>
      <c r="BK29" s="554"/>
      <c r="BL29" s="554"/>
      <c r="BM29" s="554"/>
      <c r="BN29" s="554"/>
      <c r="BO29" s="554"/>
      <c r="BP29" s="554"/>
      <c r="BQ29" s="554"/>
      <c r="BR29" s="554"/>
      <c r="BS29" s="554"/>
      <c r="BT29" s="554"/>
      <c r="BU29" s="554"/>
      <c r="BV29" s="554"/>
      <c r="BW29" s="554"/>
      <c r="BX29" s="554"/>
      <c r="BY29" s="554"/>
      <c r="BZ29" s="554"/>
      <c r="CA29" s="554"/>
      <c r="CB29" s="554"/>
      <c r="CC29" s="554"/>
      <c r="CD29" s="554"/>
      <c r="CE29" s="554"/>
      <c r="CF29" s="554"/>
      <c r="CG29" s="554"/>
      <c r="CH29" s="554"/>
      <c r="CI29" s="554"/>
      <c r="CJ29" s="554"/>
      <c r="CK29" s="554"/>
      <c r="CL29" s="554"/>
      <c r="CM29" s="554"/>
      <c r="CN29" s="554"/>
      <c r="CO29" s="554"/>
      <c r="CP29" s="554"/>
      <c r="CQ29" s="554"/>
      <c r="CR29" s="554"/>
      <c r="CS29" s="554"/>
      <c r="CT29" s="554"/>
      <c r="CU29" s="554"/>
      <c r="CV29" s="554"/>
      <c r="CW29" s="554"/>
      <c r="CX29" s="554"/>
      <c r="CY29" s="554"/>
      <c r="CZ29" s="554"/>
      <c r="DA29" s="121"/>
      <c r="DB29" s="121"/>
      <c r="DC29" s="121"/>
      <c r="DD29" s="121"/>
    </row>
    <row r="30" spans="1:113">
      <c r="A30" s="499" t="s">
        <v>473</v>
      </c>
      <c r="B30" s="191" t="s">
        <v>56</v>
      </c>
      <c r="C30" s="138"/>
      <c r="D30" s="138"/>
      <c r="E30" s="138"/>
      <c r="F30" s="632"/>
      <c r="G30" s="138"/>
      <c r="H30" s="138"/>
      <c r="I30" s="554"/>
      <c r="J30" s="554"/>
      <c r="K30" s="554"/>
      <c r="L30" s="554"/>
      <c r="M30" s="554"/>
      <c r="N30" s="554"/>
      <c r="O30" s="554"/>
      <c r="P30" s="554"/>
      <c r="Q30" s="554"/>
      <c r="R30" s="554"/>
      <c r="S30" s="554"/>
      <c r="T30" s="554"/>
      <c r="U30" s="554"/>
      <c r="V30" s="554"/>
      <c r="W30" s="554"/>
      <c r="X30" s="554"/>
      <c r="Y30" s="554"/>
      <c r="Z30" s="554"/>
      <c r="AA30" s="554"/>
      <c r="AB30" s="554"/>
      <c r="AC30" s="554"/>
      <c r="AD30" s="554"/>
      <c r="AE30" s="554"/>
      <c r="AF30" s="554"/>
      <c r="AG30" s="554"/>
      <c r="AH30" s="554"/>
      <c r="AI30" s="554"/>
      <c r="AJ30" s="554"/>
      <c r="AK30" s="554"/>
      <c r="AL30" s="554"/>
      <c r="AM30" s="554"/>
      <c r="AN30" s="554"/>
      <c r="AO30" s="554"/>
      <c r="AP30" s="554"/>
      <c r="AQ30" s="554"/>
      <c r="AR30" s="554"/>
      <c r="AS30" s="554"/>
      <c r="AT30" s="554"/>
      <c r="AU30" s="554"/>
      <c r="AV30" s="554"/>
      <c r="AW30" s="554"/>
      <c r="AX30" s="554"/>
      <c r="AY30" s="554"/>
      <c r="AZ30" s="554"/>
      <c r="BA30" s="554"/>
      <c r="BB30" s="554"/>
      <c r="BC30" s="554"/>
      <c r="BD30" s="554"/>
      <c r="BE30" s="554"/>
      <c r="BF30" s="554"/>
      <c r="BG30" s="554"/>
      <c r="BH30" s="554"/>
      <c r="BI30" s="554"/>
      <c r="BJ30" s="554"/>
      <c r="BK30" s="554"/>
      <c r="BL30" s="554"/>
      <c r="BM30" s="554"/>
      <c r="BN30" s="554"/>
      <c r="BO30" s="554"/>
      <c r="BP30" s="554"/>
      <c r="BQ30" s="554"/>
      <c r="BR30" s="554"/>
      <c r="BS30" s="554"/>
      <c r="BT30" s="554"/>
      <c r="BU30" s="554"/>
      <c r="BV30" s="554"/>
      <c r="BW30" s="554"/>
      <c r="BX30" s="554"/>
      <c r="BY30" s="554"/>
      <c r="BZ30" s="554"/>
      <c r="CA30" s="554"/>
      <c r="CB30" s="554"/>
      <c r="CC30" s="554"/>
      <c r="CD30" s="554"/>
      <c r="CE30" s="554"/>
      <c r="CF30" s="554"/>
      <c r="CG30" s="554"/>
      <c r="CH30" s="554"/>
      <c r="CI30" s="554"/>
      <c r="CJ30" s="554"/>
      <c r="CK30" s="554"/>
      <c r="CL30" s="554"/>
      <c r="CM30" s="554"/>
      <c r="CN30" s="554"/>
      <c r="CO30" s="554"/>
      <c r="CP30" s="554"/>
      <c r="CQ30" s="554"/>
      <c r="CR30" s="554"/>
      <c r="CS30" s="554"/>
      <c r="CT30" s="554"/>
      <c r="CU30" s="554"/>
      <c r="CV30" s="554"/>
      <c r="CW30" s="554"/>
      <c r="CX30" s="554"/>
      <c r="CY30" s="554"/>
      <c r="CZ30" s="554"/>
      <c r="DA30" s="121"/>
      <c r="DB30" s="121"/>
      <c r="DC30" s="121"/>
      <c r="DD30" s="121"/>
    </row>
    <row r="31" spans="1:113">
      <c r="A31" s="263">
        <v>1</v>
      </c>
      <c r="B31" s="150" t="s">
        <v>747</v>
      </c>
      <c r="C31" s="138">
        <v>76.59</v>
      </c>
      <c r="D31" s="138">
        <f t="shared" ref="D31:D35" si="21">C31</f>
        <v>76.59</v>
      </c>
      <c r="E31" s="511">
        <v>0.66</v>
      </c>
      <c r="F31" s="634"/>
      <c r="G31" s="634"/>
      <c r="H31" s="138">
        <v>9</v>
      </c>
      <c r="I31" s="554"/>
      <c r="J31" s="554"/>
      <c r="K31" s="554"/>
      <c r="L31" s="554"/>
      <c r="M31" s="569"/>
      <c r="N31" s="579"/>
      <c r="O31" s="620"/>
      <c r="P31" s="621"/>
      <c r="Q31" s="554"/>
      <c r="R31" s="554"/>
      <c r="S31" s="554"/>
      <c r="T31" s="554"/>
      <c r="U31" s="569"/>
      <c r="V31" s="579"/>
      <c r="W31" s="620"/>
      <c r="X31" s="621"/>
      <c r="Y31" s="554"/>
      <c r="Z31" s="554"/>
      <c r="AA31" s="554"/>
      <c r="AB31" s="554"/>
      <c r="AC31" s="569"/>
      <c r="AD31" s="579">
        <v>0.18</v>
      </c>
      <c r="AE31" s="620"/>
      <c r="AF31" s="621"/>
      <c r="AG31" s="554"/>
      <c r="AH31" s="554"/>
      <c r="AI31" s="554"/>
      <c r="AJ31" s="554"/>
      <c r="AK31" s="569"/>
      <c r="AL31" s="579"/>
      <c r="AM31" s="620"/>
      <c r="AN31" s="621"/>
      <c r="AO31" s="554"/>
      <c r="AP31" s="554"/>
      <c r="AQ31" s="554"/>
      <c r="AR31" s="554"/>
      <c r="AS31" s="569"/>
      <c r="AT31" s="579"/>
      <c r="AU31" s="620"/>
      <c r="AV31" s="621"/>
      <c r="AW31" s="554"/>
      <c r="AX31" s="554"/>
      <c r="AY31" s="554"/>
      <c r="AZ31" s="554"/>
      <c r="BA31" s="569"/>
      <c r="BB31" s="579">
        <v>0.08</v>
      </c>
      <c r="BC31" s="620"/>
      <c r="BD31" s="621"/>
      <c r="BE31" s="554"/>
      <c r="BF31" s="554"/>
      <c r="BG31" s="554"/>
      <c r="BH31" s="554"/>
      <c r="BI31" s="569"/>
      <c r="BJ31" s="579"/>
      <c r="BK31" s="620"/>
      <c r="BL31" s="621"/>
      <c r="BM31" s="554"/>
      <c r="BN31" s="554"/>
      <c r="BO31" s="554"/>
      <c r="BP31" s="554"/>
      <c r="BQ31" s="569">
        <v>4</v>
      </c>
      <c r="BR31" s="579">
        <v>0.01</v>
      </c>
      <c r="BS31" s="620"/>
      <c r="BT31" s="621"/>
      <c r="BU31" s="554"/>
      <c r="BV31" s="554"/>
      <c r="BW31" s="554"/>
      <c r="BX31" s="554"/>
      <c r="BY31" s="569"/>
      <c r="BZ31" s="579"/>
      <c r="CA31" s="620"/>
      <c r="CB31" s="621"/>
      <c r="CC31" s="554"/>
      <c r="CD31" s="554"/>
      <c r="CE31" s="554"/>
      <c r="CF31" s="554"/>
      <c r="CG31" s="569"/>
      <c r="CH31" s="579"/>
      <c r="CI31" s="620"/>
      <c r="CJ31" s="621"/>
      <c r="CK31" s="554"/>
      <c r="CL31" s="554"/>
      <c r="CM31" s="554"/>
      <c r="CN31" s="554"/>
      <c r="CO31" s="569">
        <v>4</v>
      </c>
      <c r="CP31" s="579"/>
      <c r="CQ31" s="620"/>
      <c r="CR31" s="621"/>
      <c r="CS31" s="554"/>
      <c r="CT31" s="554"/>
      <c r="CU31" s="554"/>
      <c r="CV31" s="554"/>
      <c r="CW31" s="569">
        <v>1</v>
      </c>
      <c r="CX31" s="579"/>
      <c r="CY31" s="620"/>
      <c r="CZ31" s="621"/>
      <c r="DA31" s="588"/>
      <c r="DB31" s="596"/>
      <c r="DC31" s="588"/>
      <c r="DD31" s="596"/>
      <c r="DE31" s="121">
        <f t="shared" ref="DE31:DE32" si="22">M31+U31+AC31+AK31+AS31+BA31+BI31+BQ31+BY31+CG31+CO31+CW31</f>
        <v>9</v>
      </c>
    </row>
    <row r="32" spans="1:113">
      <c r="A32" s="263">
        <v>2</v>
      </c>
      <c r="B32" s="506" t="s">
        <v>748</v>
      </c>
      <c r="C32" s="138">
        <v>2882.53</v>
      </c>
      <c r="D32" s="138">
        <f t="shared" si="21"/>
        <v>2882.53</v>
      </c>
      <c r="E32" s="511">
        <v>12.14</v>
      </c>
      <c r="F32" s="634"/>
      <c r="G32" s="634"/>
      <c r="H32" s="138">
        <v>136.25</v>
      </c>
      <c r="I32" s="554"/>
      <c r="J32" s="554"/>
      <c r="K32" s="554"/>
      <c r="L32" s="554"/>
      <c r="M32" s="569"/>
      <c r="N32" s="579"/>
      <c r="O32" s="620"/>
      <c r="P32" s="621"/>
      <c r="Q32" s="554"/>
      <c r="R32" s="554"/>
      <c r="S32" s="554"/>
      <c r="T32" s="554"/>
      <c r="U32" s="569"/>
      <c r="V32" s="579"/>
      <c r="W32" s="620"/>
      <c r="X32" s="621"/>
      <c r="Y32" s="554"/>
      <c r="Z32" s="554"/>
      <c r="AA32" s="554"/>
      <c r="AB32" s="554"/>
      <c r="AC32" s="569"/>
      <c r="AD32" s="579">
        <v>0.12</v>
      </c>
      <c r="AE32" s="620"/>
      <c r="AF32" s="621"/>
      <c r="AG32" s="554"/>
      <c r="AH32" s="554"/>
      <c r="AI32" s="554"/>
      <c r="AJ32" s="554"/>
      <c r="AK32" s="569"/>
      <c r="AL32" s="579"/>
      <c r="AM32" s="620"/>
      <c r="AN32" s="621"/>
      <c r="AO32" s="554"/>
      <c r="AP32" s="554"/>
      <c r="AQ32" s="554"/>
      <c r="AR32" s="554"/>
      <c r="AS32" s="569"/>
      <c r="AT32" s="579">
        <v>0.16</v>
      </c>
      <c r="AU32" s="620"/>
      <c r="AV32" s="621"/>
      <c r="AW32" s="554"/>
      <c r="AX32" s="554"/>
      <c r="AY32" s="554"/>
      <c r="AZ32" s="554"/>
      <c r="BA32" s="569"/>
      <c r="BB32" s="579">
        <v>0.12</v>
      </c>
      <c r="BC32" s="620"/>
      <c r="BD32" s="621"/>
      <c r="BE32" s="554"/>
      <c r="BF32" s="554"/>
      <c r="BG32" s="554"/>
      <c r="BH32" s="554"/>
      <c r="BI32" s="569">
        <v>24.6</v>
      </c>
      <c r="BJ32" s="579"/>
      <c r="BK32" s="620"/>
      <c r="BL32" s="621"/>
      <c r="BM32" s="554"/>
      <c r="BN32" s="554"/>
      <c r="BO32" s="554"/>
      <c r="BP32" s="554"/>
      <c r="BQ32" s="569">
        <v>37.200000000000003</v>
      </c>
      <c r="BR32" s="579">
        <v>0.64</v>
      </c>
      <c r="BS32" s="620"/>
      <c r="BT32" s="621"/>
      <c r="BU32" s="554"/>
      <c r="BV32" s="554"/>
      <c r="BW32" s="554"/>
      <c r="BX32" s="554"/>
      <c r="BY32" s="569">
        <v>50</v>
      </c>
      <c r="BZ32" s="579"/>
      <c r="CA32" s="620"/>
      <c r="CB32" s="621"/>
      <c r="CC32" s="554"/>
      <c r="CD32" s="554"/>
      <c r="CE32" s="554"/>
      <c r="CF32" s="554"/>
      <c r="CG32" s="569">
        <v>2</v>
      </c>
      <c r="CH32" s="579">
        <v>48.26</v>
      </c>
      <c r="CI32" s="620"/>
      <c r="CJ32" s="621"/>
      <c r="CK32" s="554"/>
      <c r="CL32" s="554"/>
      <c r="CM32" s="554"/>
      <c r="CN32" s="554"/>
      <c r="CO32" s="569">
        <v>2</v>
      </c>
      <c r="CP32" s="579"/>
      <c r="CQ32" s="620"/>
      <c r="CR32" s="621"/>
      <c r="CS32" s="554"/>
      <c r="CT32" s="554"/>
      <c r="CU32" s="554"/>
      <c r="CV32" s="554"/>
      <c r="CW32" s="569">
        <v>13.45</v>
      </c>
      <c r="CX32" s="579"/>
      <c r="CY32" s="620"/>
      <c r="CZ32" s="621"/>
      <c r="DA32" s="588"/>
      <c r="DB32" s="596"/>
      <c r="DC32" s="588"/>
      <c r="DD32" s="596"/>
      <c r="DE32" s="121">
        <f t="shared" si="22"/>
        <v>129.25</v>
      </c>
    </row>
    <row r="33" spans="1:112">
      <c r="A33" s="263">
        <v>3</v>
      </c>
      <c r="B33" s="507" t="s">
        <v>760</v>
      </c>
      <c r="C33" s="138">
        <v>0</v>
      </c>
      <c r="D33" s="138">
        <f t="shared" si="21"/>
        <v>0</v>
      </c>
      <c r="E33" s="511"/>
      <c r="F33" s="634"/>
      <c r="G33" s="511"/>
      <c r="H33" s="138">
        <v>0</v>
      </c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54"/>
      <c r="AB33" s="554"/>
      <c r="AC33" s="554"/>
      <c r="AD33" s="554"/>
      <c r="AE33" s="554"/>
      <c r="AF33" s="554"/>
      <c r="AG33" s="554"/>
      <c r="AH33" s="554"/>
      <c r="AI33" s="554"/>
      <c r="AJ33" s="554"/>
      <c r="AK33" s="554"/>
      <c r="AL33" s="554"/>
      <c r="AM33" s="554"/>
      <c r="AN33" s="554"/>
      <c r="AO33" s="554"/>
      <c r="AP33" s="554"/>
      <c r="AQ33" s="554"/>
      <c r="AR33" s="554"/>
      <c r="AS33" s="554"/>
      <c r="AT33" s="554"/>
      <c r="AU33" s="554"/>
      <c r="AV33" s="554"/>
      <c r="AW33" s="554"/>
      <c r="AX33" s="554"/>
      <c r="AY33" s="554"/>
      <c r="AZ33" s="554"/>
      <c r="BA33" s="554"/>
      <c r="BB33" s="554"/>
      <c r="BC33" s="554"/>
      <c r="BD33" s="554"/>
      <c r="BE33" s="554"/>
      <c r="BF33" s="554"/>
      <c r="BG33" s="554"/>
      <c r="BH33" s="554"/>
      <c r="BI33" s="554"/>
      <c r="BJ33" s="554"/>
      <c r="BK33" s="554"/>
      <c r="BL33" s="554"/>
      <c r="BM33" s="554"/>
      <c r="BN33" s="554"/>
      <c r="BO33" s="554"/>
      <c r="BP33" s="554"/>
      <c r="BQ33" s="554"/>
      <c r="BR33" s="554"/>
      <c r="BS33" s="554"/>
      <c r="BT33" s="554"/>
      <c r="BU33" s="554"/>
      <c r="BV33" s="554"/>
      <c r="BW33" s="554"/>
      <c r="BX33" s="554"/>
      <c r="BY33" s="554"/>
      <c r="BZ33" s="554"/>
      <c r="CA33" s="554"/>
      <c r="CB33" s="554"/>
      <c r="CC33" s="554"/>
      <c r="CD33" s="554"/>
      <c r="CE33" s="554"/>
      <c r="CF33" s="554"/>
      <c r="CG33" s="554"/>
      <c r="CH33" s="554"/>
      <c r="CI33" s="554"/>
      <c r="CJ33" s="554"/>
      <c r="CK33" s="554"/>
      <c r="CL33" s="554"/>
      <c r="CM33" s="554"/>
      <c r="CN33" s="554"/>
      <c r="CO33" s="554"/>
      <c r="CP33" s="554"/>
      <c r="CQ33" s="554"/>
      <c r="CR33" s="554"/>
      <c r="CS33" s="554"/>
      <c r="CT33" s="554"/>
      <c r="CU33" s="554"/>
      <c r="CV33" s="554"/>
      <c r="CW33" s="554"/>
      <c r="CX33" s="554"/>
      <c r="CY33" s="554"/>
      <c r="CZ33" s="554"/>
      <c r="DA33" s="121"/>
      <c r="DB33" s="121"/>
      <c r="DC33" s="121"/>
      <c r="DD33" s="121"/>
    </row>
    <row r="34" spans="1:112">
      <c r="A34" s="263">
        <v>4</v>
      </c>
      <c r="B34" s="509" t="s">
        <v>761</v>
      </c>
      <c r="C34" s="138">
        <v>0</v>
      </c>
      <c r="D34" s="138">
        <f t="shared" si="21"/>
        <v>0</v>
      </c>
      <c r="E34" s="511"/>
      <c r="F34" s="634"/>
      <c r="G34" s="511"/>
      <c r="H34" s="138">
        <v>0</v>
      </c>
      <c r="I34" s="554"/>
      <c r="J34" s="554"/>
      <c r="K34" s="554"/>
      <c r="L34" s="554"/>
      <c r="M34" s="554"/>
      <c r="N34" s="554"/>
      <c r="O34" s="554"/>
      <c r="P34" s="554"/>
      <c r="Q34" s="554"/>
      <c r="R34" s="554"/>
      <c r="S34" s="554"/>
      <c r="T34" s="554"/>
      <c r="U34" s="554"/>
      <c r="V34" s="554"/>
      <c r="W34" s="554"/>
      <c r="X34" s="554"/>
      <c r="Y34" s="554"/>
      <c r="Z34" s="554"/>
      <c r="AA34" s="554"/>
      <c r="AB34" s="554"/>
      <c r="AC34" s="554"/>
      <c r="AD34" s="554"/>
      <c r="AE34" s="554"/>
      <c r="AF34" s="554"/>
      <c r="AG34" s="554"/>
      <c r="AH34" s="554"/>
      <c r="AI34" s="554"/>
      <c r="AJ34" s="554"/>
      <c r="AK34" s="554"/>
      <c r="AL34" s="554"/>
      <c r="AM34" s="554"/>
      <c r="AN34" s="554"/>
      <c r="AO34" s="554"/>
      <c r="AP34" s="554"/>
      <c r="AQ34" s="554"/>
      <c r="AR34" s="554"/>
      <c r="AS34" s="554"/>
      <c r="AT34" s="554"/>
      <c r="AU34" s="554"/>
      <c r="AV34" s="554"/>
      <c r="AW34" s="554"/>
      <c r="AX34" s="554"/>
      <c r="AY34" s="554"/>
      <c r="AZ34" s="554"/>
      <c r="BA34" s="554"/>
      <c r="BB34" s="554"/>
      <c r="BC34" s="554"/>
      <c r="BD34" s="554"/>
      <c r="BE34" s="554"/>
      <c r="BF34" s="554"/>
      <c r="BG34" s="554"/>
      <c r="BH34" s="554"/>
      <c r="BI34" s="554"/>
      <c r="BJ34" s="554"/>
      <c r="BK34" s="554"/>
      <c r="BL34" s="554"/>
      <c r="BM34" s="554"/>
      <c r="BN34" s="554"/>
      <c r="BO34" s="554"/>
      <c r="BP34" s="554"/>
      <c r="BQ34" s="554"/>
      <c r="BR34" s="554"/>
      <c r="BS34" s="554"/>
      <c r="BT34" s="554"/>
      <c r="BU34" s="554"/>
      <c r="BV34" s="554"/>
      <c r="BW34" s="554"/>
      <c r="BX34" s="554"/>
      <c r="BY34" s="554"/>
      <c r="BZ34" s="554"/>
      <c r="CA34" s="554"/>
      <c r="CB34" s="554"/>
      <c r="CC34" s="554"/>
      <c r="CD34" s="554"/>
      <c r="CE34" s="554"/>
      <c r="CF34" s="554"/>
      <c r="CG34" s="554"/>
      <c r="CH34" s="554"/>
      <c r="CI34" s="554"/>
      <c r="CJ34" s="554"/>
      <c r="CK34" s="554"/>
      <c r="CL34" s="554"/>
      <c r="CM34" s="554"/>
      <c r="CN34" s="554"/>
      <c r="CO34" s="554"/>
      <c r="CP34" s="554"/>
      <c r="CQ34" s="554"/>
      <c r="CR34" s="554"/>
      <c r="CS34" s="554"/>
      <c r="CT34" s="554"/>
      <c r="CU34" s="554"/>
      <c r="CV34" s="554"/>
      <c r="CW34" s="554"/>
      <c r="CX34" s="554"/>
      <c r="CY34" s="554"/>
      <c r="CZ34" s="554"/>
      <c r="DA34" s="121"/>
      <c r="DB34" s="121"/>
      <c r="DC34" s="121"/>
      <c r="DD34" s="121"/>
    </row>
    <row r="35" spans="1:112">
      <c r="A35" s="263">
        <v>5</v>
      </c>
      <c r="B35" s="509" t="s">
        <v>764</v>
      </c>
      <c r="C35" s="138">
        <v>177.22</v>
      </c>
      <c r="D35" s="138">
        <f t="shared" si="21"/>
        <v>177.22</v>
      </c>
      <c r="E35" s="511"/>
      <c r="F35" s="634"/>
      <c r="G35" s="511"/>
      <c r="H35" s="138">
        <v>0</v>
      </c>
      <c r="I35" s="554"/>
      <c r="J35" s="554"/>
      <c r="K35" s="554"/>
      <c r="L35" s="554"/>
      <c r="M35" s="554"/>
      <c r="N35" s="554"/>
      <c r="O35" s="554"/>
      <c r="P35" s="554"/>
      <c r="Q35" s="554"/>
      <c r="R35" s="554"/>
      <c r="S35" s="554"/>
      <c r="T35" s="554"/>
      <c r="U35" s="554"/>
      <c r="V35" s="554"/>
      <c r="W35" s="554"/>
      <c r="X35" s="554"/>
      <c r="Y35" s="554"/>
      <c r="Z35" s="554"/>
      <c r="AA35" s="554"/>
      <c r="AB35" s="554"/>
      <c r="AC35" s="554"/>
      <c r="AD35" s="554"/>
      <c r="AE35" s="554"/>
      <c r="AF35" s="554"/>
      <c r="AG35" s="554"/>
      <c r="AH35" s="554"/>
      <c r="AI35" s="554"/>
      <c r="AJ35" s="554"/>
      <c r="AK35" s="554"/>
      <c r="AL35" s="554"/>
      <c r="AM35" s="554"/>
      <c r="AN35" s="554"/>
      <c r="AO35" s="554"/>
      <c r="AP35" s="554"/>
      <c r="AQ35" s="554"/>
      <c r="AR35" s="554"/>
      <c r="AS35" s="554"/>
      <c r="AT35" s="554"/>
      <c r="AU35" s="554"/>
      <c r="AV35" s="554"/>
      <c r="AW35" s="554"/>
      <c r="AX35" s="554"/>
      <c r="AY35" s="554"/>
      <c r="AZ35" s="554"/>
      <c r="BA35" s="554"/>
      <c r="BB35" s="554"/>
      <c r="BC35" s="554"/>
      <c r="BD35" s="554"/>
      <c r="BE35" s="554"/>
      <c r="BF35" s="554"/>
      <c r="BG35" s="554"/>
      <c r="BH35" s="554"/>
      <c r="BI35" s="554"/>
      <c r="BJ35" s="554"/>
      <c r="BK35" s="554"/>
      <c r="BL35" s="554"/>
      <c r="BM35" s="554"/>
      <c r="BN35" s="554"/>
      <c r="BO35" s="554"/>
      <c r="BP35" s="554"/>
      <c r="BQ35" s="554"/>
      <c r="BR35" s="554"/>
      <c r="BS35" s="554"/>
      <c r="BT35" s="554"/>
      <c r="BU35" s="554"/>
      <c r="BV35" s="554"/>
      <c r="BW35" s="554"/>
      <c r="BX35" s="554"/>
      <c r="BY35" s="554"/>
      <c r="BZ35" s="554"/>
      <c r="CA35" s="554"/>
      <c r="CB35" s="554"/>
      <c r="CC35" s="554"/>
      <c r="CD35" s="554"/>
      <c r="CE35" s="554"/>
      <c r="CF35" s="554"/>
      <c r="CG35" s="554"/>
      <c r="CH35" s="554"/>
      <c r="CI35" s="554"/>
      <c r="CJ35" s="554"/>
      <c r="CK35" s="554"/>
      <c r="CL35" s="554"/>
      <c r="CM35" s="554"/>
      <c r="CN35" s="554"/>
      <c r="CO35" s="554"/>
      <c r="CP35" s="554"/>
      <c r="CQ35" s="554"/>
      <c r="CR35" s="554"/>
      <c r="CS35" s="554"/>
      <c r="CT35" s="554"/>
      <c r="CU35" s="554"/>
      <c r="CV35" s="554"/>
      <c r="CW35" s="554"/>
      <c r="CX35" s="554"/>
      <c r="CY35" s="554"/>
      <c r="CZ35" s="554"/>
      <c r="DA35" s="121"/>
      <c r="DB35" s="121"/>
      <c r="DC35" s="121"/>
      <c r="DD35" s="121"/>
    </row>
    <row r="36" spans="1:112">
      <c r="A36" s="263">
        <v>6</v>
      </c>
      <c r="B36" s="509" t="s">
        <v>762</v>
      </c>
      <c r="C36" s="138">
        <v>367.55</v>
      </c>
      <c r="D36" s="138">
        <f t="shared" ref="D36" si="23">C36</f>
        <v>367.55</v>
      </c>
      <c r="E36" s="511"/>
      <c r="F36" s="634"/>
      <c r="G36" s="511"/>
      <c r="H36" s="138">
        <v>0</v>
      </c>
      <c r="I36" s="554"/>
      <c r="J36" s="554"/>
      <c r="K36" s="554"/>
      <c r="L36" s="554"/>
      <c r="M36" s="554"/>
      <c r="N36" s="554"/>
      <c r="O36" s="554"/>
      <c r="P36" s="554"/>
      <c r="Q36" s="554"/>
      <c r="R36" s="554"/>
      <c r="S36" s="554"/>
      <c r="T36" s="554"/>
      <c r="U36" s="554"/>
      <c r="V36" s="554"/>
      <c r="W36" s="554"/>
      <c r="X36" s="554"/>
      <c r="Y36" s="554"/>
      <c r="Z36" s="554"/>
      <c r="AA36" s="554"/>
      <c r="AB36" s="554"/>
      <c r="AC36" s="554"/>
      <c r="AD36" s="554"/>
      <c r="AE36" s="554"/>
      <c r="AF36" s="554"/>
      <c r="AG36" s="554"/>
      <c r="AH36" s="554"/>
      <c r="AI36" s="554"/>
      <c r="AJ36" s="554"/>
      <c r="AK36" s="554"/>
      <c r="AL36" s="554"/>
      <c r="AM36" s="554"/>
      <c r="AN36" s="554"/>
      <c r="AO36" s="554"/>
      <c r="AP36" s="554"/>
      <c r="AQ36" s="554"/>
      <c r="AR36" s="554"/>
      <c r="AS36" s="554"/>
      <c r="AT36" s="554"/>
      <c r="AU36" s="554"/>
      <c r="AV36" s="554"/>
      <c r="AW36" s="554"/>
      <c r="AX36" s="554"/>
      <c r="AY36" s="554"/>
      <c r="AZ36" s="554"/>
      <c r="BA36" s="554"/>
      <c r="BB36" s="554"/>
      <c r="BC36" s="554"/>
      <c r="BD36" s="554"/>
      <c r="BE36" s="554"/>
      <c r="BF36" s="554"/>
      <c r="BG36" s="554"/>
      <c r="BH36" s="554"/>
      <c r="BI36" s="554"/>
      <c r="BJ36" s="554"/>
      <c r="BK36" s="554"/>
      <c r="BL36" s="554"/>
      <c r="BM36" s="554"/>
      <c r="BN36" s="554"/>
      <c r="BO36" s="554"/>
      <c r="BP36" s="554"/>
      <c r="BQ36" s="554"/>
      <c r="BR36" s="554"/>
      <c r="BS36" s="554"/>
      <c r="BT36" s="554"/>
      <c r="BU36" s="554"/>
      <c r="BV36" s="554"/>
      <c r="BW36" s="554"/>
      <c r="BX36" s="554"/>
      <c r="BY36" s="554"/>
      <c r="BZ36" s="554"/>
      <c r="CA36" s="554"/>
      <c r="CB36" s="554"/>
      <c r="CC36" s="554"/>
      <c r="CD36" s="554"/>
      <c r="CE36" s="554"/>
      <c r="CF36" s="554"/>
      <c r="CG36" s="554"/>
      <c r="CH36" s="554"/>
      <c r="CI36" s="554"/>
      <c r="CJ36" s="554"/>
      <c r="CK36" s="554"/>
      <c r="CL36" s="554"/>
      <c r="CM36" s="554"/>
      <c r="CN36" s="554"/>
      <c r="CO36" s="554"/>
      <c r="CP36" s="554"/>
      <c r="CQ36" s="554"/>
      <c r="CR36" s="554"/>
      <c r="CS36" s="554"/>
      <c r="CT36" s="554"/>
      <c r="CU36" s="554"/>
      <c r="CV36" s="554"/>
      <c r="CW36" s="554"/>
      <c r="CX36" s="554"/>
      <c r="CY36" s="554"/>
      <c r="CZ36" s="554"/>
      <c r="DA36" s="121"/>
      <c r="DB36" s="121"/>
      <c r="DC36" s="121"/>
      <c r="DD36" s="121"/>
    </row>
    <row r="37" spans="1:112">
      <c r="A37" s="263"/>
      <c r="B37" s="339" t="s">
        <v>469</v>
      </c>
      <c r="C37" s="138"/>
      <c r="D37" s="138"/>
      <c r="E37" s="511"/>
      <c r="F37" s="634"/>
      <c r="G37" s="511"/>
      <c r="H37" s="138"/>
      <c r="I37" s="554"/>
      <c r="J37" s="554"/>
      <c r="K37" s="554"/>
      <c r="L37" s="554"/>
      <c r="M37" s="554"/>
      <c r="N37" s="554"/>
      <c r="O37" s="554"/>
      <c r="P37" s="554"/>
      <c r="Q37" s="554"/>
      <c r="R37" s="554"/>
      <c r="S37" s="554"/>
      <c r="T37" s="554"/>
      <c r="U37" s="554"/>
      <c r="V37" s="554"/>
      <c r="W37" s="554"/>
      <c r="X37" s="554"/>
      <c r="Y37" s="554"/>
      <c r="Z37" s="554"/>
      <c r="AA37" s="554"/>
      <c r="AB37" s="554"/>
      <c r="AC37" s="554"/>
      <c r="AD37" s="554"/>
      <c r="AE37" s="554"/>
      <c r="AF37" s="554"/>
      <c r="AG37" s="554"/>
      <c r="AH37" s="554"/>
      <c r="AI37" s="554"/>
      <c r="AJ37" s="554"/>
      <c r="AK37" s="554"/>
      <c r="AL37" s="554"/>
      <c r="AM37" s="554"/>
      <c r="AN37" s="554"/>
      <c r="AO37" s="554"/>
      <c r="AP37" s="554"/>
      <c r="AQ37" s="554"/>
      <c r="AR37" s="554"/>
      <c r="AS37" s="554"/>
      <c r="AT37" s="554"/>
      <c r="AU37" s="554"/>
      <c r="AV37" s="554"/>
      <c r="AW37" s="554"/>
      <c r="AX37" s="554"/>
      <c r="AY37" s="554"/>
      <c r="AZ37" s="554"/>
      <c r="BA37" s="554"/>
      <c r="BB37" s="554"/>
      <c r="BC37" s="554"/>
      <c r="BD37" s="554"/>
      <c r="BE37" s="554"/>
      <c r="BF37" s="554"/>
      <c r="BG37" s="554"/>
      <c r="BH37" s="554"/>
      <c r="BI37" s="554"/>
      <c r="BJ37" s="554"/>
      <c r="BK37" s="554"/>
      <c r="BL37" s="554"/>
      <c r="BM37" s="554"/>
      <c r="BN37" s="554"/>
      <c r="BO37" s="554"/>
      <c r="BP37" s="554"/>
      <c r="BQ37" s="554"/>
      <c r="BR37" s="554"/>
      <c r="BS37" s="554"/>
      <c r="BT37" s="554"/>
      <c r="BU37" s="554"/>
      <c r="BV37" s="554"/>
      <c r="BW37" s="554"/>
      <c r="BX37" s="554"/>
      <c r="BY37" s="554"/>
      <c r="BZ37" s="554"/>
      <c r="CA37" s="554"/>
      <c r="CB37" s="554"/>
      <c r="CC37" s="554"/>
      <c r="CD37" s="554"/>
      <c r="CE37" s="554"/>
      <c r="CF37" s="554"/>
      <c r="CG37" s="554"/>
      <c r="CH37" s="554"/>
      <c r="CI37" s="554"/>
      <c r="CJ37" s="554"/>
      <c r="CK37" s="554"/>
      <c r="CL37" s="554"/>
      <c r="CM37" s="554"/>
      <c r="CN37" s="554"/>
      <c r="CO37" s="554"/>
      <c r="CP37" s="554"/>
      <c r="CQ37" s="554"/>
      <c r="CR37" s="554"/>
      <c r="CS37" s="554"/>
      <c r="CT37" s="554"/>
      <c r="CU37" s="554"/>
      <c r="CV37" s="554"/>
      <c r="CW37" s="554"/>
      <c r="CX37" s="554"/>
      <c r="CY37" s="554"/>
      <c r="CZ37" s="554"/>
      <c r="DA37" s="121"/>
      <c r="DB37" s="121"/>
      <c r="DC37" s="121"/>
      <c r="DD37" s="121"/>
    </row>
    <row r="38" spans="1:112" s="605" customFormat="1">
      <c r="A38" s="599"/>
      <c r="B38" s="608" t="s">
        <v>475</v>
      </c>
      <c r="C38" s="601">
        <f>SUM(C31:C37)</f>
        <v>3503.8900000000003</v>
      </c>
      <c r="D38" s="601">
        <f>SUM(D31:D37)</f>
        <v>3503.8900000000003</v>
      </c>
      <c r="E38" s="601"/>
      <c r="F38" s="633"/>
      <c r="G38" s="633"/>
      <c r="H38" s="601">
        <f>SUM(H31:H37)</f>
        <v>145.25</v>
      </c>
      <c r="I38" s="591"/>
      <c r="J38" s="591"/>
      <c r="K38" s="591"/>
      <c r="L38" s="591"/>
      <c r="M38" s="591">
        <f>SUM(M31:M37)</f>
        <v>0</v>
      </c>
      <c r="N38" s="591">
        <f>SUM(N31:N37)</f>
        <v>0</v>
      </c>
      <c r="O38" s="622"/>
      <c r="P38" s="622"/>
      <c r="Q38" s="591"/>
      <c r="R38" s="591"/>
      <c r="S38" s="591"/>
      <c r="T38" s="591"/>
      <c r="U38" s="591">
        <f>SUM(U31:U37)</f>
        <v>0</v>
      </c>
      <c r="V38" s="591">
        <f>SUM(V31:V37)</f>
        <v>0</v>
      </c>
      <c r="W38" s="622"/>
      <c r="X38" s="622"/>
      <c r="Y38" s="591"/>
      <c r="Z38" s="591"/>
      <c r="AA38" s="591"/>
      <c r="AB38" s="591"/>
      <c r="AC38" s="591">
        <f>SUM(AC31:AC37)</f>
        <v>0</v>
      </c>
      <c r="AD38" s="591">
        <f>SUM(AD31:AD37)</f>
        <v>0.3</v>
      </c>
      <c r="AE38" s="622"/>
      <c r="AF38" s="622"/>
      <c r="AG38" s="591"/>
      <c r="AH38" s="591"/>
      <c r="AI38" s="591"/>
      <c r="AJ38" s="591"/>
      <c r="AK38" s="591">
        <f>SUM(AK31:AK37)</f>
        <v>0</v>
      </c>
      <c r="AL38" s="591">
        <f>SUM(AL31:AL37)</f>
        <v>0</v>
      </c>
      <c r="AM38" s="622"/>
      <c r="AN38" s="622"/>
      <c r="AO38" s="591"/>
      <c r="AP38" s="591"/>
      <c r="AQ38" s="591"/>
      <c r="AR38" s="591"/>
      <c r="AS38" s="591">
        <f>SUM(AS31:AS37)</f>
        <v>0</v>
      </c>
      <c r="AT38" s="591">
        <f>SUM(AT31:AT37)</f>
        <v>0.16</v>
      </c>
      <c r="AU38" s="622"/>
      <c r="AV38" s="622"/>
      <c r="AW38" s="591"/>
      <c r="AX38" s="591"/>
      <c r="AY38" s="591"/>
      <c r="AZ38" s="591"/>
      <c r="BA38" s="591">
        <f>SUM(BA31:BA37)</f>
        <v>0</v>
      </c>
      <c r="BB38" s="591">
        <f>SUM(BB31:BB37)</f>
        <v>0.2</v>
      </c>
      <c r="BC38" s="622"/>
      <c r="BD38" s="622"/>
      <c r="BE38" s="591"/>
      <c r="BF38" s="591"/>
      <c r="BG38" s="591"/>
      <c r="BH38" s="591"/>
      <c r="BI38" s="591">
        <f>SUM(BI31:BI37)</f>
        <v>24.6</v>
      </c>
      <c r="BJ38" s="591">
        <f>SUM(BJ31:BJ37)</f>
        <v>0</v>
      </c>
      <c r="BK38" s="622"/>
      <c r="BL38" s="622"/>
      <c r="BM38" s="591"/>
      <c r="BN38" s="591"/>
      <c r="BO38" s="591"/>
      <c r="BP38" s="591"/>
      <c r="BQ38" s="591">
        <f>SUM(BQ31:BQ37)</f>
        <v>41.2</v>
      </c>
      <c r="BR38" s="591">
        <f>SUM(BR31:BR37)</f>
        <v>0.65</v>
      </c>
      <c r="BS38" s="622"/>
      <c r="BT38" s="622"/>
      <c r="BU38" s="591"/>
      <c r="BV38" s="591"/>
      <c r="BW38" s="591"/>
      <c r="BX38" s="591"/>
      <c r="BY38" s="591">
        <f>SUM(BY31:BY37)</f>
        <v>50</v>
      </c>
      <c r="BZ38" s="591">
        <f>SUM(BZ31:BZ37)</f>
        <v>0</v>
      </c>
      <c r="CA38" s="622"/>
      <c r="CB38" s="622"/>
      <c r="CC38" s="591"/>
      <c r="CD38" s="591"/>
      <c r="CE38" s="591"/>
      <c r="CF38" s="591"/>
      <c r="CG38" s="591">
        <f>SUM(CG31:CG37)</f>
        <v>2</v>
      </c>
      <c r="CH38" s="591">
        <f>SUM(CH31:CH37)</f>
        <v>48.26</v>
      </c>
      <c r="CI38" s="622"/>
      <c r="CJ38" s="622"/>
      <c r="CK38" s="591"/>
      <c r="CL38" s="591"/>
      <c r="CM38" s="591"/>
      <c r="CN38" s="591"/>
      <c r="CO38" s="591">
        <f>SUM(CO31:CO37)</f>
        <v>6</v>
      </c>
      <c r="CP38" s="591">
        <f>SUM(CP31:CP37)</f>
        <v>0</v>
      </c>
      <c r="CQ38" s="622"/>
      <c r="CR38" s="622"/>
      <c r="CS38" s="591"/>
      <c r="CT38" s="591"/>
      <c r="CU38" s="591"/>
      <c r="CV38" s="591"/>
      <c r="CW38" s="591">
        <f>SUM(CW31:CW37)</f>
        <v>14.45</v>
      </c>
      <c r="CX38" s="591">
        <f>SUM(CX31:CX37)</f>
        <v>0</v>
      </c>
      <c r="CY38" s="622"/>
      <c r="CZ38" s="622"/>
      <c r="DA38" s="602"/>
      <c r="DB38" s="602"/>
      <c r="DC38" s="602"/>
      <c r="DD38" s="602"/>
      <c r="DE38" s="121">
        <f>M38+U38+AC38+AK38+AS38+BA38+BI38+BQ38+BY38+CG38+CO38+CW38</f>
        <v>138.25</v>
      </c>
      <c r="DH38" s="661"/>
    </row>
    <row r="39" spans="1:112">
      <c r="A39" s="499"/>
      <c r="B39" s="197"/>
      <c r="C39" s="553"/>
      <c r="D39" s="553"/>
      <c r="E39" s="553"/>
      <c r="F39" s="631"/>
      <c r="G39" s="553"/>
      <c r="H39" s="553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54"/>
      <c r="AB39" s="554"/>
      <c r="AC39" s="554"/>
      <c r="AD39" s="554"/>
      <c r="AE39" s="554"/>
      <c r="AF39" s="554"/>
      <c r="AG39" s="554"/>
      <c r="AH39" s="554"/>
      <c r="AI39" s="554"/>
      <c r="AJ39" s="554"/>
      <c r="AK39" s="554"/>
      <c r="AL39" s="554"/>
      <c r="AM39" s="554"/>
      <c r="AN39" s="554"/>
      <c r="AO39" s="554"/>
      <c r="AP39" s="554"/>
      <c r="AQ39" s="554"/>
      <c r="AR39" s="554"/>
      <c r="AS39" s="554"/>
      <c r="AT39" s="554"/>
      <c r="AU39" s="554"/>
      <c r="AV39" s="554"/>
      <c r="AW39" s="554"/>
      <c r="AX39" s="554"/>
      <c r="AY39" s="554"/>
      <c r="AZ39" s="554"/>
      <c r="BA39" s="554"/>
      <c r="BB39" s="554"/>
      <c r="BC39" s="554"/>
      <c r="BD39" s="554"/>
      <c r="BE39" s="554"/>
      <c r="BF39" s="554"/>
      <c r="BG39" s="554"/>
      <c r="BH39" s="554"/>
      <c r="BI39" s="554"/>
      <c r="BJ39" s="554"/>
      <c r="BK39" s="554"/>
      <c r="BL39" s="554"/>
      <c r="BM39" s="554"/>
      <c r="BN39" s="554"/>
      <c r="BO39" s="554"/>
      <c r="BP39" s="554"/>
      <c r="BQ39" s="554"/>
      <c r="BR39" s="554"/>
      <c r="BS39" s="554"/>
      <c r="BT39" s="554"/>
      <c r="BU39" s="554"/>
      <c r="BV39" s="554"/>
      <c r="BW39" s="554"/>
      <c r="BX39" s="554"/>
      <c r="BY39" s="554"/>
      <c r="BZ39" s="554"/>
      <c r="CA39" s="554"/>
      <c r="CB39" s="554"/>
      <c r="CC39" s="554"/>
      <c r="CD39" s="554"/>
      <c r="CE39" s="554"/>
      <c r="CF39" s="554"/>
      <c r="CG39" s="554"/>
      <c r="CH39" s="554"/>
      <c r="CI39" s="554"/>
      <c r="CJ39" s="554"/>
      <c r="CK39" s="554"/>
      <c r="CL39" s="554"/>
      <c r="CM39" s="554"/>
      <c r="CN39" s="554"/>
      <c r="CO39" s="554"/>
      <c r="CP39" s="554"/>
      <c r="CQ39" s="554"/>
      <c r="CR39" s="554"/>
      <c r="CS39" s="554"/>
      <c r="CT39" s="554"/>
      <c r="CU39" s="554"/>
      <c r="CV39" s="554"/>
      <c r="CW39" s="554"/>
      <c r="CX39" s="554"/>
      <c r="CY39" s="554"/>
      <c r="CZ39" s="554"/>
      <c r="DA39" s="121"/>
      <c r="DB39" s="121"/>
      <c r="DC39" s="121"/>
      <c r="DD39" s="121"/>
    </row>
    <row r="40" spans="1:112">
      <c r="A40" s="519" t="s">
        <v>689</v>
      </c>
      <c r="B40" s="518" t="s">
        <v>686</v>
      </c>
      <c r="C40" s="553"/>
      <c r="D40" s="553"/>
      <c r="E40" s="553"/>
      <c r="F40" s="631"/>
      <c r="G40" s="553"/>
      <c r="H40" s="553"/>
      <c r="I40" s="554"/>
      <c r="J40" s="554"/>
      <c r="K40" s="554"/>
      <c r="L40" s="554"/>
      <c r="M40" s="554"/>
      <c r="N40" s="554"/>
      <c r="O40" s="554"/>
      <c r="P40" s="554"/>
      <c r="Q40" s="554"/>
      <c r="R40" s="554"/>
      <c r="S40" s="554"/>
      <c r="T40" s="554"/>
      <c r="U40" s="554"/>
      <c r="V40" s="554"/>
      <c r="W40" s="554"/>
      <c r="X40" s="554"/>
      <c r="Y40" s="554"/>
      <c r="Z40" s="554"/>
      <c r="AA40" s="554"/>
      <c r="AB40" s="554"/>
      <c r="AC40" s="554"/>
      <c r="AD40" s="554"/>
      <c r="AE40" s="554"/>
      <c r="AF40" s="554"/>
      <c r="AG40" s="554"/>
      <c r="AH40" s="554"/>
      <c r="AI40" s="554"/>
      <c r="AJ40" s="554"/>
      <c r="AK40" s="554"/>
      <c r="AL40" s="554"/>
      <c r="AM40" s="554"/>
      <c r="AN40" s="554"/>
      <c r="AO40" s="554"/>
      <c r="AP40" s="554"/>
      <c r="AQ40" s="554"/>
      <c r="AR40" s="554"/>
      <c r="AS40" s="554"/>
      <c r="AT40" s="554"/>
      <c r="AU40" s="554"/>
      <c r="AV40" s="554"/>
      <c r="AW40" s="554"/>
      <c r="AX40" s="554"/>
      <c r="AY40" s="554"/>
      <c r="AZ40" s="554"/>
      <c r="BA40" s="554"/>
      <c r="BB40" s="554"/>
      <c r="BC40" s="554"/>
      <c r="BD40" s="554"/>
      <c r="BE40" s="554"/>
      <c r="BF40" s="554"/>
      <c r="BG40" s="554"/>
      <c r="BH40" s="554"/>
      <c r="BI40" s="554"/>
      <c r="BJ40" s="554"/>
      <c r="BK40" s="554"/>
      <c r="BL40" s="554"/>
      <c r="BM40" s="554"/>
      <c r="BN40" s="554"/>
      <c r="BO40" s="554"/>
      <c r="BP40" s="554"/>
      <c r="BQ40" s="554"/>
      <c r="BR40" s="554"/>
      <c r="BS40" s="554"/>
      <c r="BT40" s="554"/>
      <c r="BU40" s="554"/>
      <c r="BV40" s="554"/>
      <c r="BW40" s="554"/>
      <c r="BX40" s="554"/>
      <c r="BY40" s="554"/>
      <c r="BZ40" s="554"/>
      <c r="CA40" s="554"/>
      <c r="CB40" s="554"/>
      <c r="CC40" s="554"/>
      <c r="CD40" s="554"/>
      <c r="CE40" s="554"/>
      <c r="CF40" s="554"/>
      <c r="CG40" s="554"/>
      <c r="CH40" s="554"/>
      <c r="CI40" s="554"/>
      <c r="CJ40" s="554"/>
      <c r="CK40" s="554"/>
      <c r="CL40" s="554"/>
      <c r="CM40" s="554"/>
      <c r="CN40" s="554"/>
      <c r="CO40" s="554"/>
      <c r="CP40" s="554"/>
      <c r="CQ40" s="554"/>
      <c r="CR40" s="554"/>
      <c r="CS40" s="554"/>
      <c r="CT40" s="554"/>
      <c r="CU40" s="554"/>
      <c r="CV40" s="554"/>
      <c r="CW40" s="554"/>
      <c r="CX40" s="554"/>
      <c r="CY40" s="554"/>
      <c r="CZ40" s="554"/>
      <c r="DA40" s="121"/>
      <c r="DB40" s="121"/>
      <c r="DC40" s="121"/>
      <c r="DD40" s="121"/>
    </row>
    <row r="41" spans="1:112">
      <c r="A41" s="499"/>
      <c r="B41" s="517" t="s">
        <v>691</v>
      </c>
      <c r="C41" s="558"/>
      <c r="D41" s="558"/>
      <c r="E41" s="558"/>
      <c r="F41" s="631"/>
      <c r="G41" s="553"/>
      <c r="H41" s="553"/>
      <c r="I41" s="554"/>
      <c r="J41" s="554"/>
      <c r="K41" s="554"/>
      <c r="L41" s="554"/>
      <c r="M41" s="554"/>
      <c r="N41" s="554"/>
      <c r="O41" s="554"/>
      <c r="P41" s="554"/>
      <c r="Q41" s="554"/>
      <c r="R41" s="554"/>
      <c r="S41" s="554"/>
      <c r="T41" s="554"/>
      <c r="U41" s="554"/>
      <c r="V41" s="554"/>
      <c r="W41" s="554"/>
      <c r="X41" s="554"/>
      <c r="Y41" s="554"/>
      <c r="Z41" s="554"/>
      <c r="AA41" s="554"/>
      <c r="AB41" s="554"/>
      <c r="AC41" s="554"/>
      <c r="AD41" s="554"/>
      <c r="AE41" s="554"/>
      <c r="AF41" s="554"/>
      <c r="AG41" s="554"/>
      <c r="AH41" s="554"/>
      <c r="AI41" s="554"/>
      <c r="AJ41" s="554"/>
      <c r="AK41" s="554"/>
      <c r="AL41" s="554"/>
      <c r="AM41" s="554"/>
      <c r="AN41" s="554"/>
      <c r="AO41" s="554"/>
      <c r="AP41" s="554"/>
      <c r="AQ41" s="554"/>
      <c r="AR41" s="554"/>
      <c r="AS41" s="554"/>
      <c r="AT41" s="554"/>
      <c r="AU41" s="554"/>
      <c r="AV41" s="554"/>
      <c r="AW41" s="554"/>
      <c r="AX41" s="554"/>
      <c r="AY41" s="554"/>
      <c r="AZ41" s="554"/>
      <c r="BA41" s="554"/>
      <c r="BB41" s="554"/>
      <c r="BC41" s="554"/>
      <c r="BD41" s="554"/>
      <c r="BE41" s="554"/>
      <c r="BF41" s="554"/>
      <c r="BG41" s="554"/>
      <c r="BH41" s="554"/>
      <c r="BI41" s="554"/>
      <c r="BJ41" s="554"/>
      <c r="BK41" s="554"/>
      <c r="BL41" s="554"/>
      <c r="BM41" s="554"/>
      <c r="BN41" s="554"/>
      <c r="BO41" s="554"/>
      <c r="BP41" s="554"/>
      <c r="BQ41" s="554"/>
      <c r="BR41" s="554"/>
      <c r="BS41" s="554"/>
      <c r="BT41" s="554"/>
      <c r="BU41" s="554"/>
      <c r="BV41" s="554"/>
      <c r="BW41" s="554"/>
      <c r="BX41" s="554"/>
      <c r="BY41" s="554"/>
      <c r="BZ41" s="554"/>
      <c r="CA41" s="554"/>
      <c r="CB41" s="554"/>
      <c r="CC41" s="554"/>
      <c r="CD41" s="554"/>
      <c r="CE41" s="554"/>
      <c r="CF41" s="554"/>
      <c r="CG41" s="554"/>
      <c r="CH41" s="554"/>
      <c r="CI41" s="554"/>
      <c r="CJ41" s="554"/>
      <c r="CK41" s="554"/>
      <c r="CL41" s="554"/>
      <c r="CM41" s="554"/>
      <c r="CN41" s="554"/>
      <c r="CO41" s="554"/>
      <c r="CP41" s="554"/>
      <c r="CQ41" s="554"/>
      <c r="CR41" s="554"/>
      <c r="CS41" s="554"/>
      <c r="CT41" s="554"/>
      <c r="CU41" s="554"/>
      <c r="CV41" s="554"/>
      <c r="CW41" s="554"/>
      <c r="CX41" s="554"/>
      <c r="CY41" s="554"/>
      <c r="CZ41" s="554"/>
      <c r="DA41" s="121"/>
      <c r="DB41" s="121"/>
      <c r="DC41" s="121"/>
      <c r="DD41" s="121"/>
    </row>
    <row r="42" spans="1:112">
      <c r="A42" s="499"/>
      <c r="B42" s="190"/>
      <c r="C42" s="138"/>
      <c r="D42" s="138"/>
      <c r="E42" s="138"/>
      <c r="F42" s="632"/>
      <c r="G42" s="138"/>
      <c r="H42" s="138"/>
      <c r="I42" s="554"/>
      <c r="J42" s="554"/>
      <c r="K42" s="554"/>
      <c r="L42" s="554"/>
      <c r="M42" s="554"/>
      <c r="N42" s="554"/>
      <c r="O42" s="554"/>
      <c r="P42" s="554"/>
      <c r="Q42" s="554"/>
      <c r="R42" s="554"/>
      <c r="S42" s="554"/>
      <c r="T42" s="554"/>
      <c r="U42" s="554"/>
      <c r="V42" s="554"/>
      <c r="W42" s="554"/>
      <c r="X42" s="554"/>
      <c r="Y42" s="554"/>
      <c r="Z42" s="554"/>
      <c r="AA42" s="554"/>
      <c r="AB42" s="554"/>
      <c r="AC42" s="554"/>
      <c r="AD42" s="554"/>
      <c r="AE42" s="554"/>
      <c r="AF42" s="554"/>
      <c r="AG42" s="554"/>
      <c r="AH42" s="554"/>
      <c r="AI42" s="554"/>
      <c r="AJ42" s="554"/>
      <c r="AK42" s="554"/>
      <c r="AL42" s="554"/>
      <c r="AM42" s="554"/>
      <c r="AN42" s="554"/>
      <c r="AO42" s="554"/>
      <c r="AP42" s="554"/>
      <c r="AQ42" s="554"/>
      <c r="AR42" s="554"/>
      <c r="AS42" s="554"/>
      <c r="AT42" s="554"/>
      <c r="AU42" s="554"/>
      <c r="AV42" s="554"/>
      <c r="AW42" s="554"/>
      <c r="AX42" s="554"/>
      <c r="AY42" s="554"/>
      <c r="AZ42" s="554"/>
      <c r="BA42" s="554"/>
      <c r="BB42" s="554"/>
      <c r="BC42" s="554"/>
      <c r="BD42" s="554"/>
      <c r="BE42" s="554"/>
      <c r="BF42" s="554"/>
      <c r="BG42" s="554"/>
      <c r="BH42" s="554"/>
      <c r="BI42" s="554"/>
      <c r="BJ42" s="554"/>
      <c r="BK42" s="554"/>
      <c r="BL42" s="554"/>
      <c r="BM42" s="554"/>
      <c r="BN42" s="554"/>
      <c r="BO42" s="554"/>
      <c r="BP42" s="554"/>
      <c r="BQ42" s="554"/>
      <c r="BR42" s="554"/>
      <c r="BS42" s="554"/>
      <c r="BT42" s="554"/>
      <c r="BU42" s="554"/>
      <c r="BV42" s="554"/>
      <c r="BW42" s="554"/>
      <c r="BX42" s="554"/>
      <c r="BY42" s="554"/>
      <c r="BZ42" s="554"/>
      <c r="CA42" s="554"/>
      <c r="CB42" s="554"/>
      <c r="CC42" s="554"/>
      <c r="CD42" s="554"/>
      <c r="CE42" s="554"/>
      <c r="CF42" s="554"/>
      <c r="CG42" s="554"/>
      <c r="CH42" s="554"/>
      <c r="CI42" s="554"/>
      <c r="CJ42" s="554"/>
      <c r="CK42" s="554"/>
      <c r="CL42" s="554"/>
      <c r="CM42" s="554"/>
      <c r="CN42" s="554"/>
      <c r="CO42" s="554"/>
      <c r="CP42" s="554"/>
      <c r="CQ42" s="554"/>
      <c r="CR42" s="554"/>
      <c r="CS42" s="554"/>
      <c r="CT42" s="554"/>
      <c r="CU42" s="554"/>
      <c r="CV42" s="554"/>
      <c r="CW42" s="554"/>
      <c r="CX42" s="554"/>
      <c r="CY42" s="554"/>
      <c r="CZ42" s="554"/>
      <c r="DA42" s="121"/>
      <c r="DB42" s="121"/>
      <c r="DC42" s="121"/>
      <c r="DD42" s="121"/>
    </row>
    <row r="43" spans="1:112">
      <c r="A43" s="508" t="s">
        <v>476</v>
      </c>
      <c r="B43" s="497" t="s">
        <v>55</v>
      </c>
      <c r="C43" s="138"/>
      <c r="D43" s="138"/>
      <c r="E43" s="138"/>
      <c r="F43" s="632"/>
      <c r="G43" s="138"/>
      <c r="H43" s="138"/>
      <c r="I43" s="554"/>
      <c r="J43" s="554"/>
      <c r="K43" s="554"/>
      <c r="L43" s="554"/>
      <c r="M43" s="554"/>
      <c r="N43" s="554"/>
      <c r="O43" s="554"/>
      <c r="P43" s="554"/>
      <c r="Q43" s="554"/>
      <c r="R43" s="554"/>
      <c r="S43" s="554"/>
      <c r="T43" s="554"/>
      <c r="U43" s="554"/>
      <c r="V43" s="554"/>
      <c r="W43" s="554"/>
      <c r="X43" s="554"/>
      <c r="Y43" s="554"/>
      <c r="Z43" s="554"/>
      <c r="AA43" s="554"/>
      <c r="AB43" s="554"/>
      <c r="AC43" s="554"/>
      <c r="AD43" s="554"/>
      <c r="AE43" s="554"/>
      <c r="AF43" s="554"/>
      <c r="AG43" s="554"/>
      <c r="AH43" s="554"/>
      <c r="AI43" s="554"/>
      <c r="AJ43" s="554"/>
      <c r="AK43" s="554"/>
      <c r="AL43" s="554"/>
      <c r="AM43" s="554"/>
      <c r="AN43" s="554"/>
      <c r="AO43" s="554"/>
      <c r="AP43" s="554"/>
      <c r="AQ43" s="554"/>
      <c r="AR43" s="554"/>
      <c r="AS43" s="554"/>
      <c r="AT43" s="554"/>
      <c r="AU43" s="554"/>
      <c r="AV43" s="554"/>
      <c r="AW43" s="554"/>
      <c r="AX43" s="554"/>
      <c r="AY43" s="554"/>
      <c r="AZ43" s="554"/>
      <c r="BA43" s="554"/>
      <c r="BB43" s="554"/>
      <c r="BC43" s="554"/>
      <c r="BD43" s="554"/>
      <c r="BE43" s="554"/>
      <c r="BF43" s="554"/>
      <c r="BG43" s="554"/>
      <c r="BH43" s="554"/>
      <c r="BI43" s="554"/>
      <c r="BJ43" s="554"/>
      <c r="BK43" s="554"/>
      <c r="BL43" s="554"/>
      <c r="BM43" s="554"/>
      <c r="BN43" s="554"/>
      <c r="BO43" s="554"/>
      <c r="BP43" s="554"/>
      <c r="BQ43" s="554"/>
      <c r="BR43" s="554"/>
      <c r="BS43" s="554"/>
      <c r="BT43" s="554"/>
      <c r="BU43" s="554"/>
      <c r="BV43" s="554"/>
      <c r="BW43" s="554"/>
      <c r="BX43" s="554"/>
      <c r="BY43" s="554"/>
      <c r="BZ43" s="554"/>
      <c r="CA43" s="554"/>
      <c r="CB43" s="554"/>
      <c r="CC43" s="554"/>
      <c r="CD43" s="554"/>
      <c r="CE43" s="554"/>
      <c r="CF43" s="554"/>
      <c r="CG43" s="554"/>
      <c r="CH43" s="554"/>
      <c r="CI43" s="554"/>
      <c r="CJ43" s="554"/>
      <c r="CK43" s="554"/>
      <c r="CL43" s="554"/>
      <c r="CM43" s="554"/>
      <c r="CN43" s="554"/>
      <c r="CO43" s="554"/>
      <c r="CP43" s="554"/>
      <c r="CQ43" s="554"/>
      <c r="CR43" s="554"/>
      <c r="CS43" s="554"/>
      <c r="CT43" s="554"/>
      <c r="CU43" s="554"/>
      <c r="CV43" s="554"/>
      <c r="CW43" s="554"/>
      <c r="CX43" s="554"/>
      <c r="CY43" s="554"/>
      <c r="CZ43" s="554"/>
      <c r="DA43" s="121"/>
      <c r="DB43" s="121"/>
      <c r="DC43" s="121"/>
      <c r="DD43" s="121"/>
    </row>
    <row r="44" spans="1:112" s="317" customFormat="1">
      <c r="A44" s="312">
        <v>1</v>
      </c>
      <c r="B44" s="510" t="s">
        <v>749</v>
      </c>
      <c r="C44" s="511">
        <v>186.6</v>
      </c>
      <c r="D44" s="138">
        <f t="shared" ref="D44" si="24">C44</f>
        <v>186.6</v>
      </c>
      <c r="E44" s="511">
        <v>0.89000000000000012</v>
      </c>
      <c r="F44" s="634"/>
      <c r="G44" s="634"/>
      <c r="H44" s="556">
        <v>18</v>
      </c>
      <c r="I44" s="554"/>
      <c r="J44" s="554"/>
      <c r="K44" s="554"/>
      <c r="L44" s="554"/>
      <c r="M44" s="569"/>
      <c r="N44" s="579"/>
      <c r="O44" s="620"/>
      <c r="P44" s="621"/>
      <c r="Q44" s="554"/>
      <c r="R44" s="554"/>
      <c r="S44" s="554"/>
      <c r="T44" s="554"/>
      <c r="U44" s="569"/>
      <c r="V44" s="579"/>
      <c r="W44" s="620"/>
      <c r="X44" s="621"/>
      <c r="Y44" s="554"/>
      <c r="Z44" s="554"/>
      <c r="AA44" s="554"/>
      <c r="AB44" s="554"/>
      <c r="AC44" s="569"/>
      <c r="AD44" s="579">
        <v>0.02</v>
      </c>
      <c r="AE44" s="620"/>
      <c r="AF44" s="621"/>
      <c r="AG44" s="554"/>
      <c r="AH44" s="554"/>
      <c r="AI44" s="554"/>
      <c r="AJ44" s="554"/>
      <c r="AK44" s="569"/>
      <c r="AL44" s="579"/>
      <c r="AM44" s="620"/>
      <c r="AN44" s="621"/>
      <c r="AO44" s="554"/>
      <c r="AP44" s="554"/>
      <c r="AQ44" s="554"/>
      <c r="AR44" s="554"/>
      <c r="AS44" s="569"/>
      <c r="AT44" s="579"/>
      <c r="AU44" s="620"/>
      <c r="AV44" s="621"/>
      <c r="AW44" s="554"/>
      <c r="AX44" s="554"/>
      <c r="AY44" s="554"/>
      <c r="AZ44" s="554"/>
      <c r="BA44" s="569"/>
      <c r="BB44" s="579">
        <v>0.01</v>
      </c>
      <c r="BC44" s="620"/>
      <c r="BD44" s="621"/>
      <c r="BE44" s="554"/>
      <c r="BF44" s="554"/>
      <c r="BG44" s="554"/>
      <c r="BH44" s="554"/>
      <c r="BI44" s="569"/>
      <c r="BJ44" s="579"/>
      <c r="BK44" s="620"/>
      <c r="BL44" s="621"/>
      <c r="BM44" s="554"/>
      <c r="BN44" s="554"/>
      <c r="BO44" s="554"/>
      <c r="BP44" s="554"/>
      <c r="BQ44" s="569"/>
      <c r="BR44" s="579">
        <v>0.23</v>
      </c>
      <c r="BS44" s="620"/>
      <c r="BT44" s="621"/>
      <c r="BU44" s="554"/>
      <c r="BV44" s="554"/>
      <c r="BW44" s="554"/>
      <c r="BX44" s="554"/>
      <c r="BY44" s="569"/>
      <c r="BZ44" s="579"/>
      <c r="CA44" s="620"/>
      <c r="CB44" s="621"/>
      <c r="CC44" s="554"/>
      <c r="CD44" s="554"/>
      <c r="CE44" s="554"/>
      <c r="CF44" s="554"/>
      <c r="CG44" s="569"/>
      <c r="CH44" s="579"/>
      <c r="CI44" s="620"/>
      <c r="CJ44" s="621"/>
      <c r="CK44" s="554"/>
      <c r="CL44" s="554"/>
      <c r="CM44" s="554"/>
      <c r="CN44" s="554"/>
      <c r="CO44" s="569">
        <v>8.1999999999999993</v>
      </c>
      <c r="CP44" s="579"/>
      <c r="CQ44" s="620"/>
      <c r="CR44" s="621"/>
      <c r="CS44" s="554"/>
      <c r="CT44" s="554"/>
      <c r="CU44" s="554"/>
      <c r="CV44" s="554"/>
      <c r="CW44" s="569">
        <v>9.8000000000000007</v>
      </c>
      <c r="CX44" s="579"/>
      <c r="CY44" s="620"/>
      <c r="CZ44" s="621"/>
      <c r="DA44" s="588"/>
      <c r="DB44" s="596"/>
      <c r="DC44" s="588"/>
      <c r="DD44" s="596"/>
      <c r="DE44" s="121">
        <f t="shared" ref="DE44:DE46" si="25">M44+U44+AC44+AK44+AS44+BA44+BI44+BQ44+BY44+CG44+CO44+CW44</f>
        <v>18</v>
      </c>
      <c r="DH44" s="656"/>
    </row>
    <row r="45" spans="1:112" s="317" customFormat="1">
      <c r="A45" s="312">
        <v>2</v>
      </c>
      <c r="B45" s="510" t="s">
        <v>765</v>
      </c>
      <c r="C45" s="511">
        <v>124.55</v>
      </c>
      <c r="D45" s="138">
        <v>124.55</v>
      </c>
      <c r="E45" s="511">
        <v>0.76</v>
      </c>
      <c r="F45" s="634"/>
      <c r="G45" s="634"/>
      <c r="H45" s="556">
        <v>0</v>
      </c>
      <c r="I45" s="554"/>
      <c r="J45" s="554"/>
      <c r="K45" s="554"/>
      <c r="L45" s="554"/>
      <c r="M45" s="569"/>
      <c r="N45" s="579"/>
      <c r="O45" s="620"/>
      <c r="P45" s="621"/>
      <c r="Q45" s="554"/>
      <c r="R45" s="554"/>
      <c r="S45" s="554"/>
      <c r="T45" s="554"/>
      <c r="U45" s="569"/>
      <c r="V45" s="579"/>
      <c r="W45" s="620"/>
      <c r="X45" s="621"/>
      <c r="Y45" s="554"/>
      <c r="Z45" s="554"/>
      <c r="AA45" s="554"/>
      <c r="AB45" s="554"/>
      <c r="AC45" s="569"/>
      <c r="AD45" s="579">
        <v>0.04</v>
      </c>
      <c r="AE45" s="620"/>
      <c r="AF45" s="621"/>
      <c r="AG45" s="554"/>
      <c r="AH45" s="554"/>
      <c r="AI45" s="554"/>
      <c r="AJ45" s="554"/>
      <c r="AK45" s="569"/>
      <c r="AL45" s="579"/>
      <c r="AM45" s="620"/>
      <c r="AN45" s="621"/>
      <c r="AO45" s="554"/>
      <c r="AP45" s="554"/>
      <c r="AQ45" s="554"/>
      <c r="AR45" s="554"/>
      <c r="AS45" s="569"/>
      <c r="AT45" s="579"/>
      <c r="AU45" s="620"/>
      <c r="AV45" s="621"/>
      <c r="AW45" s="554"/>
      <c r="AX45" s="554"/>
      <c r="AY45" s="554"/>
      <c r="AZ45" s="554"/>
      <c r="BA45" s="569"/>
      <c r="BB45" s="579"/>
      <c r="BC45" s="620"/>
      <c r="BD45" s="621"/>
      <c r="BE45" s="554"/>
      <c r="BF45" s="554"/>
      <c r="BG45" s="554"/>
      <c r="BH45" s="554"/>
      <c r="BI45" s="569"/>
      <c r="BJ45" s="579"/>
      <c r="BK45" s="620"/>
      <c r="BL45" s="621"/>
      <c r="BM45" s="554"/>
      <c r="BN45" s="554"/>
      <c r="BO45" s="554"/>
      <c r="BP45" s="554"/>
      <c r="BQ45" s="569"/>
      <c r="BR45" s="579"/>
      <c r="BS45" s="620"/>
      <c r="BT45" s="621"/>
      <c r="BU45" s="554"/>
      <c r="BV45" s="554"/>
      <c r="BW45" s="554"/>
      <c r="BX45" s="554"/>
      <c r="BY45" s="569"/>
      <c r="BZ45" s="579"/>
      <c r="CA45" s="620"/>
      <c r="CB45" s="621"/>
      <c r="CC45" s="554"/>
      <c r="CD45" s="554"/>
      <c r="CE45" s="554"/>
      <c r="CF45" s="554"/>
      <c r="CG45" s="569"/>
      <c r="CH45" s="579"/>
      <c r="CI45" s="620"/>
      <c r="CJ45" s="621"/>
      <c r="CK45" s="554"/>
      <c r="CL45" s="554"/>
      <c r="CM45" s="554"/>
      <c r="CN45" s="554"/>
      <c r="CO45" s="569"/>
      <c r="CP45" s="579"/>
      <c r="CQ45" s="620"/>
      <c r="CR45" s="621"/>
      <c r="CS45" s="554"/>
      <c r="CT45" s="554"/>
      <c r="CU45" s="554"/>
      <c r="CV45" s="554"/>
      <c r="CW45" s="569"/>
      <c r="CX45" s="579"/>
      <c r="CY45" s="620"/>
      <c r="CZ45" s="621"/>
      <c r="DA45" s="588"/>
      <c r="DB45" s="596"/>
      <c r="DC45" s="588"/>
      <c r="DD45" s="596"/>
      <c r="DE45" s="121"/>
      <c r="DH45" s="656"/>
    </row>
    <row r="46" spans="1:112" s="512" customFormat="1">
      <c r="A46" s="312"/>
      <c r="B46" s="513" t="s">
        <v>757</v>
      </c>
      <c r="C46" s="514"/>
      <c r="D46" s="138"/>
      <c r="E46" s="514"/>
      <c r="F46" s="635"/>
      <c r="G46" s="635"/>
      <c r="H46" s="556">
        <v>0</v>
      </c>
      <c r="I46" s="559"/>
      <c r="J46" s="559"/>
      <c r="K46" s="559"/>
      <c r="L46" s="559"/>
      <c r="M46" s="572"/>
      <c r="N46" s="579">
        <v>0.02</v>
      </c>
      <c r="O46" s="625"/>
      <c r="P46" s="626"/>
      <c r="Q46" s="559"/>
      <c r="R46" s="559"/>
      <c r="S46" s="559"/>
      <c r="T46" s="559"/>
      <c r="U46" s="572"/>
      <c r="V46" s="582"/>
      <c r="W46" s="625"/>
      <c r="X46" s="626"/>
      <c r="Y46" s="559"/>
      <c r="Z46" s="559"/>
      <c r="AA46" s="559"/>
      <c r="AB46" s="559"/>
      <c r="AC46" s="572"/>
      <c r="AD46" s="582">
        <v>0.08</v>
      </c>
      <c r="AE46" s="625"/>
      <c r="AF46" s="626"/>
      <c r="AG46" s="559"/>
      <c r="AH46" s="559"/>
      <c r="AI46" s="559"/>
      <c r="AJ46" s="559"/>
      <c r="AK46" s="572"/>
      <c r="AL46" s="582">
        <v>1.1100000000000001</v>
      </c>
      <c r="AM46" s="625"/>
      <c r="AN46" s="626"/>
      <c r="AO46" s="559"/>
      <c r="AP46" s="559"/>
      <c r="AQ46" s="559"/>
      <c r="AR46" s="559"/>
      <c r="AS46" s="572"/>
      <c r="AT46" s="582"/>
      <c r="AU46" s="625"/>
      <c r="AV46" s="626"/>
      <c r="AW46" s="559"/>
      <c r="AX46" s="559"/>
      <c r="AY46" s="559"/>
      <c r="AZ46" s="559"/>
      <c r="BA46" s="572"/>
      <c r="BB46" s="679">
        <v>0.05</v>
      </c>
      <c r="BC46" s="625"/>
      <c r="BD46" s="626"/>
      <c r="BE46" s="559"/>
      <c r="BF46" s="559"/>
      <c r="BG46" s="559"/>
      <c r="BH46" s="559"/>
      <c r="BI46" s="572"/>
      <c r="BJ46" s="582"/>
      <c r="BK46" s="625"/>
      <c r="BL46" s="626"/>
      <c r="BM46" s="559"/>
      <c r="BN46" s="559"/>
      <c r="BO46" s="559"/>
      <c r="BP46" s="559"/>
      <c r="BQ46" s="572"/>
      <c r="BR46" s="679">
        <v>0.94</v>
      </c>
      <c r="BS46" s="625"/>
      <c r="BT46" s="626"/>
      <c r="BU46" s="559"/>
      <c r="BV46" s="559"/>
      <c r="BW46" s="559"/>
      <c r="BX46" s="559"/>
      <c r="BY46" s="572"/>
      <c r="BZ46" s="582"/>
      <c r="CA46" s="625"/>
      <c r="CB46" s="626"/>
      <c r="CC46" s="559"/>
      <c r="CD46" s="559"/>
      <c r="CE46" s="559"/>
      <c r="CF46" s="559"/>
      <c r="CG46" s="572"/>
      <c r="CH46" s="582"/>
      <c r="CI46" s="625"/>
      <c r="CJ46" s="626"/>
      <c r="CK46" s="559"/>
      <c r="CL46" s="559"/>
      <c r="CM46" s="559"/>
      <c r="CN46" s="559"/>
      <c r="CO46" s="572"/>
      <c r="CP46" s="582"/>
      <c r="CQ46" s="625"/>
      <c r="CR46" s="626"/>
      <c r="CS46" s="559"/>
      <c r="CT46" s="559"/>
      <c r="CU46" s="559"/>
      <c r="CV46" s="559"/>
      <c r="CW46" s="572"/>
      <c r="CX46" s="582"/>
      <c r="CY46" s="625"/>
      <c r="CZ46" s="626"/>
      <c r="DA46" s="590"/>
      <c r="DB46" s="598"/>
      <c r="DC46" s="590"/>
      <c r="DD46" s="598"/>
      <c r="DE46" s="121">
        <f t="shared" si="25"/>
        <v>0</v>
      </c>
      <c r="DH46" s="663"/>
    </row>
    <row r="47" spans="1:112" s="512" customFormat="1">
      <c r="A47" s="312"/>
      <c r="B47" s="515"/>
      <c r="C47" s="514"/>
      <c r="D47" s="556"/>
      <c r="E47" s="514"/>
      <c r="F47" s="635"/>
      <c r="G47" s="514"/>
      <c r="H47" s="556"/>
      <c r="I47" s="559"/>
      <c r="J47" s="559"/>
      <c r="K47" s="559"/>
      <c r="L47" s="559"/>
      <c r="M47" s="559"/>
      <c r="N47" s="559"/>
      <c r="O47" s="559"/>
      <c r="P47" s="559"/>
      <c r="Q47" s="559"/>
      <c r="R47" s="559"/>
      <c r="S47" s="559"/>
      <c r="T47" s="559"/>
      <c r="U47" s="559"/>
      <c r="V47" s="559"/>
      <c r="W47" s="559"/>
      <c r="X47" s="559"/>
      <c r="Y47" s="559"/>
      <c r="Z47" s="559"/>
      <c r="AA47" s="559"/>
      <c r="AB47" s="559"/>
      <c r="AC47" s="559"/>
      <c r="AD47" s="559"/>
      <c r="AE47" s="559"/>
      <c r="AF47" s="559"/>
      <c r="AG47" s="559"/>
      <c r="AH47" s="559"/>
      <c r="AI47" s="559"/>
      <c r="AJ47" s="559"/>
      <c r="AK47" s="559"/>
      <c r="AL47" s="559"/>
      <c r="AM47" s="559"/>
      <c r="AN47" s="559"/>
      <c r="AO47" s="559"/>
      <c r="AP47" s="559"/>
      <c r="AQ47" s="559"/>
      <c r="AR47" s="559"/>
      <c r="AS47" s="559"/>
      <c r="AT47" s="559"/>
      <c r="AU47" s="559"/>
      <c r="AV47" s="559"/>
      <c r="AW47" s="559"/>
      <c r="AX47" s="559"/>
      <c r="AY47" s="559"/>
      <c r="AZ47" s="559"/>
      <c r="BA47" s="559"/>
      <c r="BB47" s="559"/>
      <c r="BC47" s="559"/>
      <c r="BD47" s="559"/>
      <c r="BE47" s="559"/>
      <c r="BF47" s="559"/>
      <c r="BG47" s="559"/>
      <c r="BH47" s="559"/>
      <c r="BI47" s="559"/>
      <c r="BJ47" s="559"/>
      <c r="BK47" s="559"/>
      <c r="BL47" s="559"/>
      <c r="BM47" s="559"/>
      <c r="BN47" s="559"/>
      <c r="BO47" s="559"/>
      <c r="BP47" s="559"/>
      <c r="BQ47" s="559"/>
      <c r="BR47" s="559"/>
      <c r="BS47" s="559"/>
      <c r="BT47" s="559"/>
      <c r="BU47" s="559"/>
      <c r="BV47" s="559"/>
      <c r="BW47" s="559"/>
      <c r="BX47" s="559"/>
      <c r="BY47" s="559"/>
      <c r="BZ47" s="559"/>
      <c r="CA47" s="559"/>
      <c r="CB47" s="559"/>
      <c r="CC47" s="559"/>
      <c r="CD47" s="559"/>
      <c r="CE47" s="559"/>
      <c r="CF47" s="559"/>
      <c r="CG47" s="559"/>
      <c r="CH47" s="559"/>
      <c r="CI47" s="559"/>
      <c r="CJ47" s="559"/>
      <c r="CK47" s="559"/>
      <c r="CL47" s="559"/>
      <c r="CM47" s="559"/>
      <c r="CN47" s="559"/>
      <c r="CO47" s="559"/>
      <c r="CP47" s="559"/>
      <c r="CQ47" s="559"/>
      <c r="CR47" s="559"/>
      <c r="CS47" s="559"/>
      <c r="CT47" s="559"/>
      <c r="CU47" s="559"/>
      <c r="CV47" s="559"/>
      <c r="CW47" s="559"/>
      <c r="CX47" s="559"/>
      <c r="CY47" s="559"/>
      <c r="CZ47" s="559"/>
      <c r="DH47" s="663"/>
    </row>
    <row r="48" spans="1:112">
      <c r="A48" s="312"/>
      <c r="B48" s="516"/>
      <c r="C48" s="511"/>
      <c r="D48" s="138"/>
      <c r="E48" s="511"/>
      <c r="F48" s="634"/>
      <c r="G48" s="511"/>
      <c r="H48" s="138"/>
      <c r="I48" s="554"/>
      <c r="J48" s="554"/>
      <c r="K48" s="554"/>
      <c r="L48" s="554"/>
      <c r="M48" s="554"/>
      <c r="N48" s="554"/>
      <c r="O48" s="554"/>
      <c r="P48" s="554"/>
      <c r="Q48" s="554"/>
      <c r="R48" s="554"/>
      <c r="S48" s="554"/>
      <c r="T48" s="554"/>
      <c r="U48" s="554"/>
      <c r="V48" s="554"/>
      <c r="W48" s="554"/>
      <c r="X48" s="554"/>
      <c r="Y48" s="554"/>
      <c r="Z48" s="554"/>
      <c r="AA48" s="554"/>
      <c r="AB48" s="554"/>
      <c r="AC48" s="554"/>
      <c r="AD48" s="554"/>
      <c r="AE48" s="554"/>
      <c r="AF48" s="554"/>
      <c r="AG48" s="554"/>
      <c r="AH48" s="554"/>
      <c r="AI48" s="554"/>
      <c r="AJ48" s="554"/>
      <c r="AK48" s="554"/>
      <c r="AL48" s="554"/>
      <c r="AM48" s="554"/>
      <c r="AN48" s="554"/>
      <c r="AO48" s="554"/>
      <c r="AP48" s="554"/>
      <c r="AQ48" s="554"/>
      <c r="AR48" s="554"/>
      <c r="AS48" s="554"/>
      <c r="AT48" s="554"/>
      <c r="AU48" s="554"/>
      <c r="AV48" s="554"/>
      <c r="AW48" s="554"/>
      <c r="AX48" s="554"/>
      <c r="AY48" s="554"/>
      <c r="AZ48" s="554"/>
      <c r="BA48" s="554"/>
      <c r="BB48" s="554"/>
      <c r="BC48" s="554"/>
      <c r="BD48" s="554"/>
      <c r="BE48" s="554"/>
      <c r="BF48" s="554"/>
      <c r="BG48" s="554"/>
      <c r="BH48" s="554"/>
      <c r="BI48" s="554"/>
      <c r="BJ48" s="554"/>
      <c r="BK48" s="554"/>
      <c r="BL48" s="554"/>
      <c r="BM48" s="554"/>
      <c r="BN48" s="554"/>
      <c r="BO48" s="554"/>
      <c r="BP48" s="554"/>
      <c r="BQ48" s="554"/>
      <c r="BR48" s="554"/>
      <c r="BS48" s="554"/>
      <c r="BT48" s="554"/>
      <c r="BU48" s="554"/>
      <c r="BV48" s="554"/>
      <c r="BW48" s="554"/>
      <c r="BX48" s="554"/>
      <c r="BY48" s="554"/>
      <c r="BZ48" s="554"/>
      <c r="CA48" s="554"/>
      <c r="CB48" s="554"/>
      <c r="CC48" s="554"/>
      <c r="CD48" s="554"/>
      <c r="CE48" s="554"/>
      <c r="CF48" s="554"/>
      <c r="CG48" s="554"/>
      <c r="CH48" s="554"/>
      <c r="CI48" s="554"/>
      <c r="CJ48" s="554"/>
      <c r="CK48" s="554"/>
      <c r="CL48" s="554"/>
      <c r="CM48" s="554"/>
      <c r="CN48" s="554"/>
      <c r="CO48" s="554"/>
      <c r="CP48" s="554"/>
      <c r="CQ48" s="554"/>
      <c r="CR48" s="554"/>
      <c r="CS48" s="554"/>
      <c r="CT48" s="554"/>
      <c r="CU48" s="554"/>
      <c r="CV48" s="554"/>
      <c r="CW48" s="554"/>
      <c r="CX48" s="554"/>
      <c r="CY48" s="554"/>
      <c r="CZ48" s="554"/>
      <c r="DA48" s="121"/>
      <c r="DB48" s="121"/>
      <c r="DC48" s="121"/>
      <c r="DD48" s="121"/>
    </row>
    <row r="49" spans="1:112">
      <c r="A49" s="263"/>
      <c r="B49" s="339" t="s">
        <v>469</v>
      </c>
      <c r="C49" s="511"/>
      <c r="D49" s="138"/>
      <c r="E49" s="511"/>
      <c r="F49" s="634"/>
      <c r="G49" s="511"/>
      <c r="H49" s="138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54"/>
      <c r="AB49" s="554"/>
      <c r="AC49" s="554"/>
      <c r="AD49" s="554"/>
      <c r="AE49" s="554"/>
      <c r="AF49" s="554"/>
      <c r="AG49" s="554"/>
      <c r="AH49" s="554"/>
      <c r="AI49" s="554"/>
      <c r="AJ49" s="554"/>
      <c r="AK49" s="554"/>
      <c r="AL49" s="554"/>
      <c r="AM49" s="554"/>
      <c r="AN49" s="554"/>
      <c r="AO49" s="554"/>
      <c r="AP49" s="554"/>
      <c r="AQ49" s="554"/>
      <c r="AR49" s="554"/>
      <c r="AS49" s="554"/>
      <c r="AT49" s="554"/>
      <c r="AU49" s="554"/>
      <c r="AV49" s="554"/>
      <c r="AW49" s="554"/>
      <c r="AX49" s="554"/>
      <c r="AY49" s="554"/>
      <c r="AZ49" s="554"/>
      <c r="BA49" s="554"/>
      <c r="BB49" s="554"/>
      <c r="BC49" s="554"/>
      <c r="BD49" s="554"/>
      <c r="BE49" s="554"/>
      <c r="BF49" s="554"/>
      <c r="BG49" s="554"/>
      <c r="BH49" s="554"/>
      <c r="BI49" s="554"/>
      <c r="BJ49" s="554"/>
      <c r="BK49" s="554"/>
      <c r="BL49" s="554"/>
      <c r="BM49" s="554"/>
      <c r="BN49" s="554"/>
      <c r="BO49" s="554"/>
      <c r="BP49" s="554"/>
      <c r="BQ49" s="554"/>
      <c r="BR49" s="554"/>
      <c r="BS49" s="554"/>
      <c r="BT49" s="554"/>
      <c r="BU49" s="554"/>
      <c r="BV49" s="554"/>
      <c r="BW49" s="554"/>
      <c r="BX49" s="554"/>
      <c r="BY49" s="554"/>
      <c r="BZ49" s="554"/>
      <c r="CA49" s="554"/>
      <c r="CB49" s="554"/>
      <c r="CC49" s="554"/>
      <c r="CD49" s="554"/>
      <c r="CE49" s="554"/>
      <c r="CF49" s="554"/>
      <c r="CG49" s="554"/>
      <c r="CH49" s="554"/>
      <c r="CI49" s="554"/>
      <c r="CJ49" s="554"/>
      <c r="CK49" s="554"/>
      <c r="CL49" s="554"/>
      <c r="CM49" s="554"/>
      <c r="CN49" s="554"/>
      <c r="CO49" s="554"/>
      <c r="CP49" s="554"/>
      <c r="CQ49" s="554"/>
      <c r="CR49" s="554"/>
      <c r="CS49" s="554"/>
      <c r="CT49" s="554"/>
      <c r="CU49" s="554"/>
      <c r="CV49" s="554"/>
      <c r="CW49" s="554"/>
      <c r="CX49" s="554"/>
      <c r="CY49" s="554"/>
      <c r="CZ49" s="554"/>
      <c r="DA49" s="121"/>
      <c r="DB49" s="121"/>
      <c r="DC49" s="121"/>
      <c r="DD49" s="121"/>
    </row>
    <row r="50" spans="1:112" s="611" customFormat="1">
      <c r="A50" s="607"/>
      <c r="B50" s="608" t="s">
        <v>478</v>
      </c>
      <c r="C50" s="609"/>
      <c r="D50" s="609">
        <f>SUM(D44:D49)</f>
        <v>311.14999999999998</v>
      </c>
      <c r="E50" s="609"/>
      <c r="F50" s="636"/>
      <c r="G50" s="636"/>
      <c r="H50" s="609">
        <f>SUM(H44:H49)</f>
        <v>18</v>
      </c>
      <c r="I50" s="593"/>
      <c r="J50" s="593"/>
      <c r="K50" s="593"/>
      <c r="L50" s="593"/>
      <c r="M50" s="593">
        <f t="shared" ref="M50:N50" si="26">SUM(M44:M49)</f>
        <v>0</v>
      </c>
      <c r="N50" s="593">
        <f t="shared" si="26"/>
        <v>0.02</v>
      </c>
      <c r="O50" s="627"/>
      <c r="P50" s="627"/>
      <c r="Q50" s="593"/>
      <c r="R50" s="593"/>
      <c r="S50" s="593"/>
      <c r="T50" s="593"/>
      <c r="U50" s="593">
        <f t="shared" ref="U50" si="27">SUM(U44:U49)</f>
        <v>0</v>
      </c>
      <c r="V50" s="593">
        <f t="shared" ref="V50" si="28">SUM(V44:V49)</f>
        <v>0</v>
      </c>
      <c r="W50" s="627"/>
      <c r="X50" s="627"/>
      <c r="Y50" s="593"/>
      <c r="Z50" s="593"/>
      <c r="AA50" s="593"/>
      <c r="AB50" s="593"/>
      <c r="AC50" s="593">
        <f t="shared" ref="AC50" si="29">SUM(AC44:AC49)</f>
        <v>0</v>
      </c>
      <c r="AD50" s="593">
        <f t="shared" ref="AD50" si="30">SUM(AD44:AD49)</f>
        <v>0.14000000000000001</v>
      </c>
      <c r="AE50" s="627"/>
      <c r="AF50" s="627"/>
      <c r="AG50" s="593"/>
      <c r="AH50" s="593"/>
      <c r="AI50" s="593"/>
      <c r="AJ50" s="593"/>
      <c r="AK50" s="593">
        <f t="shared" ref="AK50" si="31">SUM(AK44:AK49)</f>
        <v>0</v>
      </c>
      <c r="AL50" s="593">
        <f t="shared" ref="AL50" si="32">SUM(AL44:AL49)</f>
        <v>1.1100000000000001</v>
      </c>
      <c r="AM50" s="627"/>
      <c r="AN50" s="627"/>
      <c r="AO50" s="593"/>
      <c r="AP50" s="593"/>
      <c r="AQ50" s="593"/>
      <c r="AR50" s="593"/>
      <c r="AS50" s="593">
        <f t="shared" ref="AS50" si="33">SUM(AS44:AS49)</f>
        <v>0</v>
      </c>
      <c r="AT50" s="593">
        <f t="shared" ref="AT50" si="34">SUM(AT44:AT49)</f>
        <v>0</v>
      </c>
      <c r="AU50" s="627"/>
      <c r="AV50" s="627"/>
      <c r="AW50" s="593"/>
      <c r="AX50" s="593"/>
      <c r="AY50" s="593"/>
      <c r="AZ50" s="593"/>
      <c r="BA50" s="593">
        <f t="shared" ref="BA50" si="35">SUM(BA44:BA49)</f>
        <v>0</v>
      </c>
      <c r="BB50" s="593">
        <f t="shared" ref="BB50" si="36">SUM(BB44:BB49)</f>
        <v>6.0000000000000005E-2</v>
      </c>
      <c r="BC50" s="627"/>
      <c r="BD50" s="627"/>
      <c r="BE50" s="593"/>
      <c r="BF50" s="593"/>
      <c r="BG50" s="593"/>
      <c r="BH50" s="593"/>
      <c r="BI50" s="593">
        <f t="shared" ref="BI50" si="37">SUM(BI44:BI49)</f>
        <v>0</v>
      </c>
      <c r="BJ50" s="593">
        <f t="shared" ref="BJ50" si="38">SUM(BJ44:BJ49)</f>
        <v>0</v>
      </c>
      <c r="BK50" s="627"/>
      <c r="BL50" s="627"/>
      <c r="BM50" s="593"/>
      <c r="BN50" s="593"/>
      <c r="BO50" s="593"/>
      <c r="BP50" s="593"/>
      <c r="BQ50" s="593">
        <f t="shared" ref="BQ50" si="39">SUM(BQ44:BQ49)</f>
        <v>0</v>
      </c>
      <c r="BR50" s="593">
        <f t="shared" ref="BR50" si="40">SUM(BR44:BR49)</f>
        <v>1.17</v>
      </c>
      <c r="BS50" s="627"/>
      <c r="BT50" s="627"/>
      <c r="BU50" s="593"/>
      <c r="BV50" s="593"/>
      <c r="BW50" s="593"/>
      <c r="BX50" s="593"/>
      <c r="BY50" s="593">
        <f t="shared" ref="BY50" si="41">SUM(BY44:BY49)</f>
        <v>0</v>
      </c>
      <c r="BZ50" s="593">
        <f t="shared" ref="BZ50" si="42">SUM(BZ44:BZ49)</f>
        <v>0</v>
      </c>
      <c r="CA50" s="627"/>
      <c r="CB50" s="627"/>
      <c r="CC50" s="593"/>
      <c r="CD50" s="593"/>
      <c r="CE50" s="593"/>
      <c r="CF50" s="593"/>
      <c r="CG50" s="593">
        <f t="shared" ref="CG50" si="43">SUM(CG44:CG49)</f>
        <v>0</v>
      </c>
      <c r="CH50" s="593">
        <f t="shared" ref="CH50" si="44">SUM(CH44:CH49)</f>
        <v>0</v>
      </c>
      <c r="CI50" s="627"/>
      <c r="CJ50" s="627"/>
      <c r="CK50" s="593"/>
      <c r="CL50" s="593"/>
      <c r="CM50" s="593"/>
      <c r="CN50" s="593"/>
      <c r="CO50" s="593">
        <f t="shared" ref="CO50" si="45">SUM(CO44:CO49)</f>
        <v>8.1999999999999993</v>
      </c>
      <c r="CP50" s="593">
        <f t="shared" ref="CP50" si="46">SUM(CP44:CP49)</f>
        <v>0</v>
      </c>
      <c r="CQ50" s="627"/>
      <c r="CR50" s="627"/>
      <c r="CS50" s="593"/>
      <c r="CT50" s="593"/>
      <c r="CU50" s="593"/>
      <c r="CV50" s="593"/>
      <c r="CW50" s="593">
        <f t="shared" ref="CW50" si="47">SUM(CW44:CW49)</f>
        <v>9.8000000000000007</v>
      </c>
      <c r="CX50" s="593">
        <f t="shared" ref="CX50" si="48">SUM(CX44:CX49)</f>
        <v>0</v>
      </c>
      <c r="CY50" s="627"/>
      <c r="CZ50" s="627"/>
      <c r="DA50" s="610"/>
      <c r="DB50" s="610"/>
      <c r="DC50" s="610"/>
      <c r="DD50" s="610"/>
      <c r="DE50" s="121">
        <f>M50+U50+AC50+AK50+AS50+BA50+BI50+BQ50+BY50+CG50+CO50+CW50</f>
        <v>18</v>
      </c>
      <c r="DH50" s="664"/>
    </row>
    <row r="51" spans="1:112" s="173" customFormat="1">
      <c r="A51" s="501"/>
      <c r="B51" s="197"/>
      <c r="C51" s="560"/>
      <c r="D51" s="560"/>
      <c r="E51" s="560"/>
      <c r="F51" s="638"/>
      <c r="G51" s="560"/>
      <c r="H51" s="560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57"/>
      <c r="AB51" s="557"/>
      <c r="AC51" s="557"/>
      <c r="AD51" s="557"/>
      <c r="AE51" s="557"/>
      <c r="AF51" s="557"/>
      <c r="AG51" s="557"/>
      <c r="AH51" s="557"/>
      <c r="AI51" s="557"/>
      <c r="AJ51" s="557"/>
      <c r="AK51" s="557"/>
      <c r="AL51" s="557"/>
      <c r="AM51" s="557"/>
      <c r="AN51" s="557"/>
      <c r="AO51" s="557"/>
      <c r="AP51" s="557"/>
      <c r="AQ51" s="557"/>
      <c r="AR51" s="557"/>
      <c r="AS51" s="557"/>
      <c r="AT51" s="557"/>
      <c r="AU51" s="557"/>
      <c r="AV51" s="557"/>
      <c r="AW51" s="557"/>
      <c r="AX51" s="557"/>
      <c r="AY51" s="557"/>
      <c r="AZ51" s="557"/>
      <c r="BA51" s="557"/>
      <c r="BB51" s="557"/>
      <c r="BC51" s="557"/>
      <c r="BD51" s="557"/>
      <c r="BE51" s="557"/>
      <c r="BF51" s="557"/>
      <c r="BG51" s="557"/>
      <c r="BH51" s="557"/>
      <c r="BI51" s="557"/>
      <c r="BJ51" s="557"/>
      <c r="BK51" s="557"/>
      <c r="BL51" s="557"/>
      <c r="BM51" s="557"/>
      <c r="BN51" s="557"/>
      <c r="BO51" s="557"/>
      <c r="BP51" s="557"/>
      <c r="BQ51" s="557"/>
      <c r="BR51" s="557"/>
      <c r="BS51" s="557"/>
      <c r="BT51" s="557"/>
      <c r="BU51" s="557"/>
      <c r="BV51" s="557"/>
      <c r="BW51" s="557"/>
      <c r="BX51" s="557"/>
      <c r="BY51" s="557"/>
      <c r="BZ51" s="557"/>
      <c r="CA51" s="557"/>
      <c r="CB51" s="557"/>
      <c r="CC51" s="557"/>
      <c r="CD51" s="557"/>
      <c r="CE51" s="557"/>
      <c r="CF51" s="557"/>
      <c r="CG51" s="557"/>
      <c r="CH51" s="557"/>
      <c r="CI51" s="557"/>
      <c r="CJ51" s="557"/>
      <c r="CK51" s="557"/>
      <c r="CL51" s="557"/>
      <c r="CM51" s="557"/>
      <c r="CN51" s="557"/>
      <c r="CO51" s="557"/>
      <c r="CP51" s="557"/>
      <c r="CQ51" s="557"/>
      <c r="CR51" s="557"/>
      <c r="CS51" s="557"/>
      <c r="CT51" s="557"/>
      <c r="CU51" s="557"/>
      <c r="CV51" s="557"/>
      <c r="CW51" s="557"/>
      <c r="CX51" s="557"/>
      <c r="CY51" s="557"/>
      <c r="CZ51" s="557"/>
      <c r="DH51" s="665"/>
    </row>
    <row r="52" spans="1:112" s="173" customFormat="1">
      <c r="A52" s="520" t="s">
        <v>690</v>
      </c>
      <c r="B52" s="518" t="s">
        <v>687</v>
      </c>
      <c r="C52" s="560"/>
      <c r="D52" s="560"/>
      <c r="E52" s="560"/>
      <c r="F52" s="638"/>
      <c r="G52" s="560"/>
      <c r="H52" s="560"/>
      <c r="I52" s="557"/>
      <c r="J52" s="557"/>
      <c r="K52" s="557"/>
      <c r="L52" s="557"/>
      <c r="M52" s="557"/>
      <c r="N52" s="557"/>
      <c r="O52" s="557"/>
      <c r="P52" s="557"/>
      <c r="Q52" s="557"/>
      <c r="R52" s="557"/>
      <c r="S52" s="557"/>
      <c r="T52" s="557"/>
      <c r="U52" s="557"/>
      <c r="V52" s="557"/>
      <c r="W52" s="557"/>
      <c r="X52" s="557"/>
      <c r="Y52" s="557"/>
      <c r="Z52" s="557"/>
      <c r="AA52" s="557"/>
      <c r="AB52" s="557"/>
      <c r="AC52" s="557"/>
      <c r="AD52" s="557"/>
      <c r="AE52" s="557"/>
      <c r="AF52" s="557"/>
      <c r="AG52" s="557"/>
      <c r="AH52" s="557"/>
      <c r="AI52" s="557"/>
      <c r="AJ52" s="557"/>
      <c r="AK52" s="557"/>
      <c r="AL52" s="557"/>
      <c r="AM52" s="557"/>
      <c r="AN52" s="557"/>
      <c r="AO52" s="557"/>
      <c r="AP52" s="557"/>
      <c r="AQ52" s="557"/>
      <c r="AR52" s="557"/>
      <c r="AS52" s="557"/>
      <c r="AT52" s="557"/>
      <c r="AU52" s="557"/>
      <c r="AV52" s="557"/>
      <c r="AW52" s="557"/>
      <c r="AX52" s="557"/>
      <c r="AY52" s="557"/>
      <c r="AZ52" s="557"/>
      <c r="BA52" s="557"/>
      <c r="BB52" s="557"/>
      <c r="BC52" s="557"/>
      <c r="BD52" s="557"/>
      <c r="BE52" s="557"/>
      <c r="BF52" s="557"/>
      <c r="BG52" s="557"/>
      <c r="BH52" s="557"/>
      <c r="BI52" s="557"/>
      <c r="BJ52" s="557"/>
      <c r="BK52" s="557"/>
      <c r="BL52" s="557"/>
      <c r="BM52" s="557"/>
      <c r="BN52" s="557"/>
      <c r="BO52" s="557"/>
      <c r="BP52" s="557"/>
      <c r="BQ52" s="557"/>
      <c r="BR52" s="557"/>
      <c r="BS52" s="557"/>
      <c r="BT52" s="557"/>
      <c r="BU52" s="557"/>
      <c r="BV52" s="557"/>
      <c r="BW52" s="557"/>
      <c r="BX52" s="557"/>
      <c r="BY52" s="557"/>
      <c r="BZ52" s="557"/>
      <c r="CA52" s="557"/>
      <c r="CB52" s="557"/>
      <c r="CC52" s="557"/>
      <c r="CD52" s="557"/>
      <c r="CE52" s="557"/>
      <c r="CF52" s="557"/>
      <c r="CG52" s="557"/>
      <c r="CH52" s="557"/>
      <c r="CI52" s="557"/>
      <c r="CJ52" s="557"/>
      <c r="CK52" s="557"/>
      <c r="CL52" s="557"/>
      <c r="CM52" s="557"/>
      <c r="CN52" s="557"/>
      <c r="CO52" s="557"/>
      <c r="CP52" s="557"/>
      <c r="CQ52" s="557"/>
      <c r="CR52" s="557"/>
      <c r="CS52" s="557"/>
      <c r="CT52" s="557"/>
      <c r="CU52" s="557"/>
      <c r="CV52" s="557"/>
      <c r="CW52" s="557"/>
      <c r="CX52" s="557"/>
      <c r="CY52" s="557"/>
      <c r="CZ52" s="557"/>
      <c r="DH52" s="665"/>
    </row>
    <row r="53" spans="1:112" s="173" customFormat="1">
      <c r="A53" s="501"/>
      <c r="B53" s="517" t="s">
        <v>691</v>
      </c>
      <c r="C53" s="558"/>
      <c r="D53" s="558"/>
      <c r="E53" s="558"/>
      <c r="F53" s="638"/>
      <c r="G53" s="560"/>
      <c r="H53" s="560"/>
      <c r="I53" s="557"/>
      <c r="J53" s="557"/>
      <c r="K53" s="557"/>
      <c r="L53" s="557"/>
      <c r="M53" s="557"/>
      <c r="N53" s="557"/>
      <c r="O53" s="557"/>
      <c r="P53" s="557"/>
      <c r="Q53" s="557"/>
      <c r="R53" s="557"/>
      <c r="S53" s="557"/>
      <c r="T53" s="557"/>
      <c r="U53" s="557"/>
      <c r="V53" s="557"/>
      <c r="W53" s="557"/>
      <c r="X53" s="557"/>
      <c r="Y53" s="557"/>
      <c r="Z53" s="557"/>
      <c r="AA53" s="557"/>
      <c r="AB53" s="557"/>
      <c r="AC53" s="557"/>
      <c r="AD53" s="557"/>
      <c r="AE53" s="557"/>
      <c r="AF53" s="557"/>
      <c r="AG53" s="557"/>
      <c r="AH53" s="557"/>
      <c r="AI53" s="557"/>
      <c r="AJ53" s="557"/>
      <c r="AK53" s="557"/>
      <c r="AL53" s="557"/>
      <c r="AM53" s="557"/>
      <c r="AN53" s="557"/>
      <c r="AO53" s="557"/>
      <c r="AP53" s="557"/>
      <c r="AQ53" s="557"/>
      <c r="AR53" s="557"/>
      <c r="AS53" s="557"/>
      <c r="AT53" s="557"/>
      <c r="AU53" s="557"/>
      <c r="AV53" s="557"/>
      <c r="AW53" s="557"/>
      <c r="AX53" s="557"/>
      <c r="AY53" s="557"/>
      <c r="AZ53" s="557"/>
      <c r="BA53" s="557"/>
      <c r="BB53" s="557"/>
      <c r="BC53" s="557"/>
      <c r="BD53" s="557"/>
      <c r="BE53" s="557"/>
      <c r="BF53" s="557"/>
      <c r="BG53" s="557"/>
      <c r="BH53" s="557"/>
      <c r="BI53" s="557"/>
      <c r="BJ53" s="557"/>
      <c r="BK53" s="557"/>
      <c r="BL53" s="557"/>
      <c r="BM53" s="557"/>
      <c r="BN53" s="557"/>
      <c r="BO53" s="557"/>
      <c r="BP53" s="557"/>
      <c r="BQ53" s="557"/>
      <c r="BR53" s="557"/>
      <c r="BS53" s="557"/>
      <c r="BT53" s="557"/>
      <c r="BU53" s="557"/>
      <c r="BV53" s="557"/>
      <c r="BW53" s="557"/>
      <c r="BX53" s="557"/>
      <c r="BY53" s="557"/>
      <c r="BZ53" s="557"/>
      <c r="CA53" s="557"/>
      <c r="CB53" s="557"/>
      <c r="CC53" s="557"/>
      <c r="CD53" s="557"/>
      <c r="CE53" s="557"/>
      <c r="CF53" s="557"/>
      <c r="CG53" s="557"/>
      <c r="CH53" s="557"/>
      <c r="CI53" s="557"/>
      <c r="CJ53" s="557"/>
      <c r="CK53" s="557"/>
      <c r="CL53" s="557"/>
      <c r="CM53" s="557"/>
      <c r="CN53" s="557"/>
      <c r="CO53" s="557"/>
      <c r="CP53" s="557"/>
      <c r="CQ53" s="557"/>
      <c r="CR53" s="557"/>
      <c r="CS53" s="557"/>
      <c r="CT53" s="557"/>
      <c r="CU53" s="557"/>
      <c r="CV53" s="557"/>
      <c r="CW53" s="557"/>
      <c r="CX53" s="557"/>
      <c r="CY53" s="557"/>
      <c r="CZ53" s="557"/>
      <c r="DH53" s="665"/>
    </row>
    <row r="54" spans="1:112" s="173" customFormat="1">
      <c r="A54" s="501"/>
      <c r="B54" s="339"/>
      <c r="C54" s="561"/>
      <c r="D54" s="561"/>
      <c r="E54" s="561"/>
      <c r="F54" s="639"/>
      <c r="G54" s="561"/>
      <c r="H54" s="561"/>
      <c r="I54" s="557"/>
      <c r="J54" s="557"/>
      <c r="K54" s="557"/>
      <c r="L54" s="557"/>
      <c r="M54" s="557"/>
      <c r="N54" s="557"/>
      <c r="O54" s="557"/>
      <c r="P54" s="557"/>
      <c r="Q54" s="557"/>
      <c r="R54" s="557"/>
      <c r="S54" s="557"/>
      <c r="T54" s="557"/>
      <c r="U54" s="557"/>
      <c r="V54" s="557"/>
      <c r="W54" s="557"/>
      <c r="X54" s="557"/>
      <c r="Y54" s="557"/>
      <c r="Z54" s="557"/>
      <c r="AA54" s="557"/>
      <c r="AB54" s="557"/>
      <c r="AC54" s="557"/>
      <c r="AD54" s="557"/>
      <c r="AE54" s="557"/>
      <c r="AF54" s="557"/>
      <c r="AG54" s="557"/>
      <c r="AH54" s="557"/>
      <c r="AI54" s="557"/>
      <c r="AJ54" s="557"/>
      <c r="AK54" s="557"/>
      <c r="AL54" s="557"/>
      <c r="AM54" s="557"/>
      <c r="AN54" s="557"/>
      <c r="AO54" s="557"/>
      <c r="AP54" s="557"/>
      <c r="AQ54" s="557"/>
      <c r="AR54" s="557"/>
      <c r="AS54" s="557"/>
      <c r="AT54" s="557"/>
      <c r="AU54" s="557"/>
      <c r="AV54" s="557"/>
      <c r="AW54" s="557"/>
      <c r="AX54" s="557"/>
      <c r="AY54" s="557"/>
      <c r="AZ54" s="557"/>
      <c r="BA54" s="557"/>
      <c r="BB54" s="557"/>
      <c r="BC54" s="557"/>
      <c r="BD54" s="557"/>
      <c r="BE54" s="557"/>
      <c r="BF54" s="557"/>
      <c r="BG54" s="557"/>
      <c r="BH54" s="557"/>
      <c r="BI54" s="557"/>
      <c r="BJ54" s="557"/>
      <c r="BK54" s="557"/>
      <c r="BL54" s="557"/>
      <c r="BM54" s="557"/>
      <c r="BN54" s="557"/>
      <c r="BO54" s="557"/>
      <c r="BP54" s="557"/>
      <c r="BQ54" s="557"/>
      <c r="BR54" s="557"/>
      <c r="BS54" s="557"/>
      <c r="BT54" s="557"/>
      <c r="BU54" s="557"/>
      <c r="BV54" s="557"/>
      <c r="BW54" s="557"/>
      <c r="BX54" s="557"/>
      <c r="BY54" s="557"/>
      <c r="BZ54" s="557"/>
      <c r="CA54" s="557"/>
      <c r="CB54" s="557"/>
      <c r="CC54" s="557"/>
      <c r="CD54" s="557"/>
      <c r="CE54" s="557"/>
      <c r="CF54" s="557"/>
      <c r="CG54" s="557"/>
      <c r="CH54" s="557"/>
      <c r="CI54" s="557"/>
      <c r="CJ54" s="557"/>
      <c r="CK54" s="557"/>
      <c r="CL54" s="557"/>
      <c r="CM54" s="557"/>
      <c r="CN54" s="557"/>
      <c r="CO54" s="557"/>
      <c r="CP54" s="557"/>
      <c r="CQ54" s="557"/>
      <c r="CR54" s="557"/>
      <c r="CS54" s="557"/>
      <c r="CT54" s="557"/>
      <c r="CU54" s="557"/>
      <c r="CV54" s="557"/>
      <c r="CW54" s="557"/>
      <c r="CX54" s="557"/>
      <c r="CY54" s="557"/>
      <c r="CZ54" s="557"/>
      <c r="DH54" s="665"/>
    </row>
    <row r="55" spans="1:112">
      <c r="A55" s="263"/>
      <c r="B55" s="193" t="s">
        <v>720</v>
      </c>
      <c r="C55" s="138"/>
      <c r="D55" s="138"/>
      <c r="E55" s="138"/>
      <c r="F55" s="632"/>
      <c r="G55" s="138"/>
      <c r="H55" s="138"/>
      <c r="I55" s="554"/>
      <c r="J55" s="554"/>
      <c r="K55" s="554"/>
      <c r="L55" s="554"/>
      <c r="M55" s="554"/>
      <c r="N55" s="554"/>
      <c r="O55" s="554"/>
      <c r="P55" s="554"/>
      <c r="Q55" s="554"/>
      <c r="R55" s="554"/>
      <c r="S55" s="554"/>
      <c r="T55" s="554"/>
      <c r="U55" s="554"/>
      <c r="V55" s="554"/>
      <c r="W55" s="554"/>
      <c r="X55" s="554"/>
      <c r="Y55" s="554"/>
      <c r="Z55" s="554"/>
      <c r="AA55" s="554"/>
      <c r="AB55" s="554"/>
      <c r="AC55" s="554"/>
      <c r="AD55" s="554"/>
      <c r="AE55" s="554"/>
      <c r="AF55" s="554"/>
      <c r="AG55" s="554"/>
      <c r="AH55" s="554"/>
      <c r="AI55" s="554"/>
      <c r="AJ55" s="554"/>
      <c r="AK55" s="554"/>
      <c r="AL55" s="554"/>
      <c r="AM55" s="554"/>
      <c r="AN55" s="554"/>
      <c r="AO55" s="554"/>
      <c r="AP55" s="554"/>
      <c r="AQ55" s="554"/>
      <c r="AR55" s="554"/>
      <c r="AS55" s="554"/>
      <c r="AT55" s="554"/>
      <c r="AU55" s="554"/>
      <c r="AV55" s="554"/>
      <c r="AW55" s="554"/>
      <c r="AX55" s="554"/>
      <c r="AY55" s="554"/>
      <c r="AZ55" s="554"/>
      <c r="BA55" s="554"/>
      <c r="BB55" s="554"/>
      <c r="BC55" s="554"/>
      <c r="BD55" s="554"/>
      <c r="BE55" s="554"/>
      <c r="BF55" s="554"/>
      <c r="BG55" s="554"/>
      <c r="BH55" s="554"/>
      <c r="BI55" s="554"/>
      <c r="BJ55" s="554"/>
      <c r="BK55" s="554"/>
      <c r="BL55" s="554"/>
      <c r="BM55" s="554"/>
      <c r="BN55" s="554"/>
      <c r="BO55" s="554"/>
      <c r="BP55" s="554"/>
      <c r="BQ55" s="554"/>
      <c r="BR55" s="554"/>
      <c r="BS55" s="554"/>
      <c r="BT55" s="554"/>
      <c r="BU55" s="554"/>
      <c r="BV55" s="554"/>
      <c r="BW55" s="554"/>
      <c r="BX55" s="554"/>
      <c r="BY55" s="554"/>
      <c r="BZ55" s="554"/>
      <c r="CA55" s="554"/>
      <c r="CB55" s="554"/>
      <c r="CC55" s="554"/>
      <c r="CD55" s="554"/>
      <c r="CE55" s="554"/>
      <c r="CF55" s="554"/>
      <c r="CG55" s="554"/>
      <c r="CH55" s="554"/>
      <c r="CI55" s="554"/>
      <c r="CJ55" s="554"/>
      <c r="CK55" s="554"/>
      <c r="CL55" s="554"/>
      <c r="CM55" s="554"/>
      <c r="CN55" s="554"/>
      <c r="CO55" s="554"/>
      <c r="CP55" s="554"/>
      <c r="CQ55" s="554"/>
      <c r="CR55" s="554"/>
      <c r="CS55" s="554"/>
      <c r="CT55" s="554"/>
      <c r="CU55" s="554"/>
      <c r="CV55" s="554"/>
      <c r="CW55" s="554"/>
      <c r="CX55" s="554"/>
      <c r="CY55" s="554"/>
      <c r="CZ55" s="554"/>
      <c r="DA55" s="121"/>
      <c r="DB55" s="121"/>
      <c r="DC55" s="121"/>
      <c r="DD55" s="121"/>
    </row>
    <row r="56" spans="1:112">
      <c r="A56" s="263"/>
      <c r="B56" s="193" t="s">
        <v>721</v>
      </c>
      <c r="C56" s="138"/>
      <c r="D56" s="138"/>
      <c r="E56" s="138"/>
      <c r="F56" s="632"/>
      <c r="G56" s="138"/>
      <c r="H56" s="138"/>
      <c r="I56" s="554"/>
      <c r="J56" s="554"/>
      <c r="K56" s="554"/>
      <c r="L56" s="554"/>
      <c r="M56" s="554"/>
      <c r="N56" s="554"/>
      <c r="O56" s="554"/>
      <c r="P56" s="554"/>
      <c r="Q56" s="554"/>
      <c r="R56" s="554"/>
      <c r="S56" s="554"/>
      <c r="T56" s="554"/>
      <c r="U56" s="554"/>
      <c r="V56" s="554"/>
      <c r="W56" s="554"/>
      <c r="X56" s="554"/>
      <c r="Y56" s="554"/>
      <c r="Z56" s="554"/>
      <c r="AA56" s="554"/>
      <c r="AB56" s="554"/>
      <c r="AC56" s="554"/>
      <c r="AD56" s="554"/>
      <c r="AE56" s="554"/>
      <c r="AF56" s="554"/>
      <c r="AG56" s="554"/>
      <c r="AH56" s="554"/>
      <c r="AI56" s="554"/>
      <c r="AJ56" s="554"/>
      <c r="AK56" s="554"/>
      <c r="AL56" s="554"/>
      <c r="AM56" s="554"/>
      <c r="AN56" s="554"/>
      <c r="AO56" s="554"/>
      <c r="AP56" s="554"/>
      <c r="AQ56" s="554"/>
      <c r="AR56" s="554"/>
      <c r="AS56" s="554"/>
      <c r="AT56" s="554"/>
      <c r="AU56" s="554"/>
      <c r="AV56" s="554"/>
      <c r="AW56" s="554"/>
      <c r="AX56" s="554"/>
      <c r="AY56" s="554"/>
      <c r="AZ56" s="554"/>
      <c r="BA56" s="554"/>
      <c r="BB56" s="554"/>
      <c r="BC56" s="554"/>
      <c r="BD56" s="554"/>
      <c r="BE56" s="554"/>
      <c r="BF56" s="554"/>
      <c r="BG56" s="554"/>
      <c r="BH56" s="554"/>
      <c r="BI56" s="554"/>
      <c r="BJ56" s="554"/>
      <c r="BK56" s="554"/>
      <c r="BL56" s="554"/>
      <c r="BM56" s="554"/>
      <c r="BN56" s="554"/>
      <c r="BO56" s="554"/>
      <c r="BP56" s="554"/>
      <c r="BQ56" s="554"/>
      <c r="BR56" s="554"/>
      <c r="BS56" s="554"/>
      <c r="BT56" s="554"/>
      <c r="BU56" s="554"/>
      <c r="BV56" s="554"/>
      <c r="BW56" s="554"/>
      <c r="BX56" s="554"/>
      <c r="BY56" s="554"/>
      <c r="BZ56" s="554"/>
      <c r="CA56" s="554"/>
      <c r="CB56" s="554"/>
      <c r="CC56" s="554"/>
      <c r="CD56" s="554"/>
      <c r="CE56" s="554"/>
      <c r="CF56" s="554"/>
      <c r="CG56" s="554"/>
      <c r="CH56" s="554"/>
      <c r="CI56" s="554"/>
      <c r="CJ56" s="554"/>
      <c r="CK56" s="554"/>
      <c r="CL56" s="554"/>
      <c r="CM56" s="554"/>
      <c r="CN56" s="554"/>
      <c r="CO56" s="554"/>
      <c r="CP56" s="554"/>
      <c r="CQ56" s="554"/>
      <c r="CR56" s="554"/>
      <c r="CS56" s="554"/>
      <c r="CT56" s="554"/>
      <c r="CU56" s="554"/>
      <c r="CV56" s="554"/>
      <c r="CW56" s="554"/>
      <c r="CX56" s="554"/>
      <c r="CY56" s="554"/>
      <c r="CZ56" s="554"/>
      <c r="DA56" s="121"/>
      <c r="DB56" s="121"/>
      <c r="DC56" s="121"/>
      <c r="DD56" s="121"/>
    </row>
    <row r="57" spans="1:112">
      <c r="A57" s="263" t="s">
        <v>29</v>
      </c>
      <c r="B57" s="158" t="s">
        <v>682</v>
      </c>
      <c r="C57" s="553">
        <f>C50+C38</f>
        <v>3503.8900000000003</v>
      </c>
      <c r="D57" s="553">
        <f>D50+D38</f>
        <v>3815.0400000000004</v>
      </c>
      <c r="E57" s="553"/>
      <c r="F57" s="631"/>
      <c r="G57" s="631"/>
      <c r="H57" s="553">
        <f>H50+H38</f>
        <v>163.25</v>
      </c>
      <c r="I57" s="554"/>
      <c r="J57" s="554"/>
      <c r="K57" s="554"/>
      <c r="L57" s="554"/>
      <c r="M57" s="569">
        <f>M50+M38</f>
        <v>0</v>
      </c>
      <c r="N57" s="579">
        <f>N50+N38</f>
        <v>0.02</v>
      </c>
      <c r="O57" s="620"/>
      <c r="P57" s="621"/>
      <c r="Q57" s="554"/>
      <c r="R57" s="554"/>
      <c r="S57" s="554"/>
      <c r="T57" s="554"/>
      <c r="U57" s="569">
        <f>U50+U38</f>
        <v>0</v>
      </c>
      <c r="V57" s="579">
        <f>V50+V38</f>
        <v>0</v>
      </c>
      <c r="W57" s="620"/>
      <c r="X57" s="621"/>
      <c r="Y57" s="554"/>
      <c r="Z57" s="554"/>
      <c r="AA57" s="554"/>
      <c r="AB57" s="554"/>
      <c r="AC57" s="569">
        <f>AC50+AC38</f>
        <v>0</v>
      </c>
      <c r="AD57" s="579">
        <f>AD50+AD38</f>
        <v>0.44</v>
      </c>
      <c r="AE57" s="620"/>
      <c r="AF57" s="621"/>
      <c r="AG57" s="554"/>
      <c r="AH57" s="554"/>
      <c r="AI57" s="554"/>
      <c r="AJ57" s="554"/>
      <c r="AK57" s="569">
        <f>AK50+AK38</f>
        <v>0</v>
      </c>
      <c r="AL57" s="579">
        <f>AL50+AL38</f>
        <v>1.1100000000000001</v>
      </c>
      <c r="AM57" s="620"/>
      <c r="AN57" s="621"/>
      <c r="AO57" s="554"/>
      <c r="AP57" s="554"/>
      <c r="AQ57" s="554"/>
      <c r="AR57" s="554"/>
      <c r="AS57" s="569">
        <f>AS50+AS38</f>
        <v>0</v>
      </c>
      <c r="AT57" s="579">
        <f>AT50+AT38</f>
        <v>0.16</v>
      </c>
      <c r="AU57" s="620"/>
      <c r="AV57" s="621"/>
      <c r="AW57" s="554"/>
      <c r="AX57" s="554"/>
      <c r="AY57" s="554"/>
      <c r="AZ57" s="554"/>
      <c r="BA57" s="569">
        <f>BA50+BA38</f>
        <v>0</v>
      </c>
      <c r="BB57" s="579">
        <f>BB50+BB38</f>
        <v>0.26</v>
      </c>
      <c r="BC57" s="620"/>
      <c r="BD57" s="621"/>
      <c r="BE57" s="554"/>
      <c r="BF57" s="554"/>
      <c r="BG57" s="554"/>
      <c r="BH57" s="554"/>
      <c r="BI57" s="569">
        <f>BI50+BI38</f>
        <v>24.6</v>
      </c>
      <c r="BJ57" s="579">
        <f>BJ50+BJ38</f>
        <v>0</v>
      </c>
      <c r="BK57" s="620"/>
      <c r="BL57" s="621"/>
      <c r="BM57" s="554"/>
      <c r="BN57" s="554"/>
      <c r="BO57" s="554"/>
      <c r="BP57" s="554"/>
      <c r="BQ57" s="569">
        <f>BQ50+BQ38</f>
        <v>41.2</v>
      </c>
      <c r="BR57" s="579">
        <f>BR50+BR38</f>
        <v>1.8199999999999998</v>
      </c>
      <c r="BS57" s="620"/>
      <c r="BT57" s="621"/>
      <c r="BU57" s="554"/>
      <c r="BV57" s="554"/>
      <c r="BW57" s="554"/>
      <c r="BX57" s="554"/>
      <c r="BY57" s="569">
        <f>BY50+BY38</f>
        <v>50</v>
      </c>
      <c r="BZ57" s="579">
        <f>BZ50+BZ38</f>
        <v>0</v>
      </c>
      <c r="CA57" s="620"/>
      <c r="CB57" s="621"/>
      <c r="CC57" s="554"/>
      <c r="CD57" s="554"/>
      <c r="CE57" s="554"/>
      <c r="CF57" s="554"/>
      <c r="CG57" s="569">
        <f>CG50+CG38</f>
        <v>2</v>
      </c>
      <c r="CH57" s="579">
        <f>CH50+CH38</f>
        <v>48.26</v>
      </c>
      <c r="CI57" s="620"/>
      <c r="CJ57" s="621"/>
      <c r="CK57" s="554"/>
      <c r="CL57" s="554"/>
      <c r="CM57" s="554"/>
      <c r="CN57" s="554"/>
      <c r="CO57" s="569">
        <f>CO50+CO38</f>
        <v>14.2</v>
      </c>
      <c r="CP57" s="579">
        <f>CP50+CP38</f>
        <v>0</v>
      </c>
      <c r="CQ57" s="620"/>
      <c r="CR57" s="621"/>
      <c r="CS57" s="554"/>
      <c r="CT57" s="554"/>
      <c r="CU57" s="554"/>
      <c r="CV57" s="554"/>
      <c r="CW57" s="569">
        <f>CW50+CW38</f>
        <v>24.25</v>
      </c>
      <c r="CX57" s="579">
        <f>CX50+CX38</f>
        <v>0</v>
      </c>
      <c r="CY57" s="620"/>
      <c r="CZ57" s="621"/>
      <c r="DA57" s="588"/>
      <c r="DB57" s="596"/>
      <c r="DC57" s="588"/>
      <c r="DD57" s="596"/>
      <c r="DE57" s="121">
        <f>M57+U57+AC57+AK57+AS57+BA57+BI57+BQ57+BY57+CG57+CO57+CW57</f>
        <v>156.25</v>
      </c>
    </row>
    <row r="58" spans="1:112" s="110" customFormat="1" ht="15" customHeight="1">
      <c r="A58" s="495" t="s">
        <v>681</v>
      </c>
      <c r="B58" s="187" t="s">
        <v>471</v>
      </c>
      <c r="C58" s="138"/>
      <c r="D58" s="138"/>
      <c r="E58" s="138"/>
      <c r="F58" s="632"/>
      <c r="G58" s="138"/>
      <c r="H58" s="138"/>
      <c r="I58" s="562"/>
      <c r="J58" s="562"/>
      <c r="K58" s="562"/>
      <c r="L58" s="562"/>
      <c r="M58" s="562"/>
      <c r="N58" s="562"/>
      <c r="O58" s="562"/>
      <c r="P58" s="562"/>
      <c r="Q58" s="562"/>
      <c r="R58" s="562"/>
      <c r="S58" s="562"/>
      <c r="T58" s="562"/>
      <c r="U58" s="562"/>
      <c r="V58" s="562"/>
      <c r="W58" s="562"/>
      <c r="X58" s="562"/>
      <c r="Y58" s="562"/>
      <c r="Z58" s="562"/>
      <c r="AA58" s="562"/>
      <c r="AB58" s="562"/>
      <c r="AC58" s="562"/>
      <c r="AD58" s="562"/>
      <c r="AE58" s="562"/>
      <c r="AF58" s="562"/>
      <c r="AG58" s="562"/>
      <c r="AH58" s="562"/>
      <c r="AI58" s="562"/>
      <c r="AJ58" s="562"/>
      <c r="AK58" s="562"/>
      <c r="AL58" s="562"/>
      <c r="AM58" s="562"/>
      <c r="AN58" s="562"/>
      <c r="AO58" s="562"/>
      <c r="AP58" s="562"/>
      <c r="AQ58" s="562"/>
      <c r="AR58" s="562"/>
      <c r="AS58" s="562"/>
      <c r="AT58" s="562"/>
      <c r="AU58" s="562"/>
      <c r="AV58" s="562"/>
      <c r="AW58" s="562"/>
      <c r="AX58" s="562"/>
      <c r="AY58" s="562"/>
      <c r="AZ58" s="562"/>
      <c r="BA58" s="562"/>
      <c r="BB58" s="562"/>
      <c r="BC58" s="562"/>
      <c r="BD58" s="562"/>
      <c r="BE58" s="562"/>
      <c r="BF58" s="562"/>
      <c r="BG58" s="562"/>
      <c r="BH58" s="562"/>
      <c r="BI58" s="562"/>
      <c r="BJ58" s="562"/>
      <c r="BK58" s="562"/>
      <c r="BL58" s="562"/>
      <c r="BM58" s="562"/>
      <c r="BN58" s="562"/>
      <c r="BO58" s="562"/>
      <c r="BP58" s="562"/>
      <c r="BQ58" s="562"/>
      <c r="BR58" s="562"/>
      <c r="BS58" s="562"/>
      <c r="BT58" s="562"/>
      <c r="BU58" s="562"/>
      <c r="BV58" s="562"/>
      <c r="BW58" s="562"/>
      <c r="BX58" s="562"/>
      <c r="BY58" s="562"/>
      <c r="BZ58" s="562"/>
      <c r="CA58" s="562"/>
      <c r="CB58" s="562"/>
      <c r="CC58" s="562"/>
      <c r="CD58" s="562"/>
      <c r="CE58" s="562"/>
      <c r="CF58" s="562"/>
      <c r="CG58" s="562"/>
      <c r="CH58" s="562"/>
      <c r="CI58" s="562"/>
      <c r="CJ58" s="562"/>
      <c r="CK58" s="562"/>
      <c r="CL58" s="562"/>
      <c r="CM58" s="562"/>
      <c r="CN58" s="562"/>
      <c r="CO58" s="562"/>
      <c r="CP58" s="562"/>
      <c r="CQ58" s="562"/>
      <c r="CR58" s="562"/>
      <c r="CS58" s="562"/>
      <c r="CT58" s="562"/>
      <c r="CU58" s="562"/>
      <c r="CV58" s="562"/>
      <c r="CW58" s="562"/>
      <c r="CX58" s="562"/>
      <c r="CY58" s="562"/>
      <c r="CZ58" s="562"/>
      <c r="DH58" s="666"/>
    </row>
    <row r="59" spans="1:112" s="131" customFormat="1">
      <c r="A59" s="498">
        <v>1</v>
      </c>
      <c r="B59" s="149" t="s">
        <v>75</v>
      </c>
      <c r="C59" s="138"/>
      <c r="D59" s="138"/>
      <c r="E59" s="138"/>
      <c r="F59" s="632"/>
      <c r="G59" s="632"/>
      <c r="H59" s="138">
        <v>210.1</v>
      </c>
      <c r="I59" s="563"/>
      <c r="J59" s="563"/>
      <c r="K59" s="563"/>
      <c r="L59" s="563"/>
      <c r="M59" s="573">
        <v>15</v>
      </c>
      <c r="N59" s="583">
        <v>5.8</v>
      </c>
      <c r="O59" s="628"/>
      <c r="P59" s="629"/>
      <c r="Q59" s="563"/>
      <c r="R59" s="563"/>
      <c r="S59" s="563"/>
      <c r="T59" s="563"/>
      <c r="U59" s="573">
        <v>20</v>
      </c>
      <c r="V59" s="583">
        <v>10.81</v>
      </c>
      <c r="W59" s="628"/>
      <c r="X59" s="629"/>
      <c r="Y59" s="563"/>
      <c r="Z59" s="563"/>
      <c r="AA59" s="563"/>
      <c r="AB59" s="563"/>
      <c r="AC59" s="573">
        <v>20</v>
      </c>
      <c r="AD59" s="583">
        <v>13.61</v>
      </c>
      <c r="AE59" s="628"/>
      <c r="AF59" s="629"/>
      <c r="AG59" s="563"/>
      <c r="AH59" s="563"/>
      <c r="AI59" s="563"/>
      <c r="AJ59" s="563"/>
      <c r="AK59" s="573">
        <v>15</v>
      </c>
      <c r="AL59" s="583">
        <v>5.2</v>
      </c>
      <c r="AM59" s="628"/>
      <c r="AN59" s="629"/>
      <c r="AO59" s="563"/>
      <c r="AP59" s="563"/>
      <c r="AQ59" s="563"/>
      <c r="AR59" s="563"/>
      <c r="AS59" s="573">
        <v>15</v>
      </c>
      <c r="AT59" s="583">
        <v>10.1</v>
      </c>
      <c r="AU59" s="628"/>
      <c r="AV59" s="629"/>
      <c r="AW59" s="563"/>
      <c r="AX59" s="563"/>
      <c r="AY59" s="563"/>
      <c r="AZ59" s="563"/>
      <c r="BA59" s="573">
        <v>15</v>
      </c>
      <c r="BB59" s="583">
        <v>15.5</v>
      </c>
      <c r="BC59" s="628"/>
      <c r="BD59" s="629"/>
      <c r="BE59" s="563"/>
      <c r="BF59" s="563"/>
      <c r="BG59" s="563"/>
      <c r="BH59" s="563"/>
      <c r="BI59" s="573">
        <v>20</v>
      </c>
      <c r="BJ59" s="583">
        <v>10</v>
      </c>
      <c r="BK59" s="628"/>
      <c r="BL59" s="629"/>
      <c r="BM59" s="563"/>
      <c r="BN59" s="563"/>
      <c r="BO59" s="563"/>
      <c r="BP59" s="563"/>
      <c r="BQ59" s="573">
        <v>15</v>
      </c>
      <c r="BR59" s="583">
        <v>63.82</v>
      </c>
      <c r="BS59" s="628"/>
      <c r="BT59" s="629"/>
      <c r="BU59" s="563"/>
      <c r="BV59" s="563"/>
      <c r="BW59" s="563"/>
      <c r="BX59" s="563"/>
      <c r="BY59" s="573">
        <v>25</v>
      </c>
      <c r="BZ59" s="583">
        <v>59.23</v>
      </c>
      <c r="CA59" s="628"/>
      <c r="CB59" s="629"/>
      <c r="CC59" s="563"/>
      <c r="CD59" s="563"/>
      <c r="CE59" s="563"/>
      <c r="CF59" s="563"/>
      <c r="CG59" s="573">
        <v>20</v>
      </c>
      <c r="CH59" s="583">
        <v>18.09</v>
      </c>
      <c r="CI59" s="628"/>
      <c r="CJ59" s="629"/>
      <c r="CK59" s="563"/>
      <c r="CL59" s="563"/>
      <c r="CM59" s="563"/>
      <c r="CN59" s="563"/>
      <c r="CO59" s="573">
        <v>20</v>
      </c>
      <c r="CP59" s="583"/>
      <c r="CQ59" s="628"/>
      <c r="CR59" s="629"/>
      <c r="CS59" s="563"/>
      <c r="CT59" s="563"/>
      <c r="CU59" s="563"/>
      <c r="CV59" s="563"/>
      <c r="CW59" s="573">
        <v>20.100000000000001</v>
      </c>
      <c r="CX59" s="583"/>
      <c r="CY59" s="628"/>
      <c r="CZ59" s="629"/>
      <c r="DA59" s="589"/>
      <c r="DB59" s="597"/>
      <c r="DC59" s="589"/>
      <c r="DD59" s="597"/>
      <c r="DE59" s="121">
        <f>M59+U59+AC59+AK59+AS59+BA59+BI59+BQ59+BY59+CG59+CO59+CW59</f>
        <v>220.1</v>
      </c>
      <c r="DH59" s="660"/>
    </row>
    <row r="60" spans="1:112" s="131" customFormat="1">
      <c r="A60" s="498">
        <v>2</v>
      </c>
      <c r="B60" s="149" t="s">
        <v>76</v>
      </c>
      <c r="C60" s="138"/>
      <c r="D60" s="138"/>
      <c r="E60" s="138"/>
      <c r="F60" s="632"/>
      <c r="G60" s="138"/>
      <c r="H60" s="138"/>
      <c r="I60" s="563"/>
      <c r="J60" s="563"/>
      <c r="K60" s="563"/>
      <c r="L60" s="563"/>
      <c r="M60" s="563"/>
      <c r="N60" s="563"/>
      <c r="O60" s="563"/>
      <c r="P60" s="563"/>
      <c r="Q60" s="563"/>
      <c r="R60" s="563"/>
      <c r="S60" s="563"/>
      <c r="T60" s="563"/>
      <c r="U60" s="563"/>
      <c r="V60" s="563"/>
      <c r="W60" s="563"/>
      <c r="X60" s="563"/>
      <c r="Y60" s="563"/>
      <c r="Z60" s="563"/>
      <c r="AA60" s="563"/>
      <c r="AB60" s="563"/>
      <c r="AC60" s="563"/>
      <c r="AD60" s="563"/>
      <c r="AE60" s="563"/>
      <c r="AF60" s="563"/>
      <c r="AG60" s="563"/>
      <c r="AH60" s="563"/>
      <c r="AI60" s="563"/>
      <c r="AJ60" s="563"/>
      <c r="AK60" s="563"/>
      <c r="AL60" s="563"/>
      <c r="AM60" s="563"/>
      <c r="AN60" s="563"/>
      <c r="AO60" s="563"/>
      <c r="AP60" s="563"/>
      <c r="AQ60" s="563"/>
      <c r="AR60" s="563"/>
      <c r="AS60" s="563"/>
      <c r="AT60" s="563"/>
      <c r="AU60" s="563"/>
      <c r="AV60" s="563"/>
      <c r="AW60" s="563"/>
      <c r="AX60" s="563"/>
      <c r="AY60" s="563"/>
      <c r="AZ60" s="563"/>
      <c r="BA60" s="563"/>
      <c r="BB60" s="563"/>
      <c r="BC60" s="563"/>
      <c r="BD60" s="563"/>
      <c r="BE60" s="563"/>
      <c r="BF60" s="563"/>
      <c r="BG60" s="563"/>
      <c r="BH60" s="563"/>
      <c r="BI60" s="563"/>
      <c r="BJ60" s="563"/>
      <c r="BK60" s="563"/>
      <c r="BL60" s="563"/>
      <c r="BM60" s="563"/>
      <c r="BN60" s="563"/>
      <c r="BO60" s="563"/>
      <c r="BP60" s="563"/>
      <c r="BQ60" s="563"/>
      <c r="BR60" s="563"/>
      <c r="BS60" s="563"/>
      <c r="BT60" s="563"/>
      <c r="BU60" s="563"/>
      <c r="BV60" s="563"/>
      <c r="BW60" s="563"/>
      <c r="BX60" s="563"/>
      <c r="BY60" s="563"/>
      <c r="BZ60" s="563"/>
      <c r="CA60" s="563"/>
      <c r="CB60" s="563"/>
      <c r="CC60" s="563"/>
      <c r="CD60" s="563"/>
      <c r="CE60" s="563"/>
      <c r="CF60" s="563"/>
      <c r="CG60" s="563"/>
      <c r="CH60" s="563"/>
      <c r="CI60" s="563"/>
      <c r="CJ60" s="563"/>
      <c r="CK60" s="563"/>
      <c r="CL60" s="563"/>
      <c r="CM60" s="563"/>
      <c r="CN60" s="563"/>
      <c r="CO60" s="563"/>
      <c r="CP60" s="563"/>
      <c r="CQ60" s="563"/>
      <c r="CR60" s="563"/>
      <c r="CS60" s="563"/>
      <c r="CT60" s="563"/>
      <c r="CU60" s="563"/>
      <c r="CV60" s="563"/>
      <c r="CW60" s="563"/>
      <c r="CX60" s="563"/>
      <c r="CY60" s="563"/>
      <c r="CZ60" s="563"/>
      <c r="DH60" s="660"/>
    </row>
    <row r="61" spans="1:112" s="603" customFormat="1">
      <c r="A61" s="599"/>
      <c r="B61" s="600" t="s">
        <v>683</v>
      </c>
      <c r="C61" s="601"/>
      <c r="D61" s="601"/>
      <c r="E61" s="601"/>
      <c r="F61" s="633"/>
      <c r="G61" s="633"/>
      <c r="H61" s="601">
        <f t="shared" ref="H61" si="49">SUM(H59:H60)</f>
        <v>210.1</v>
      </c>
      <c r="I61" s="591"/>
      <c r="J61" s="591"/>
      <c r="K61" s="591"/>
      <c r="L61" s="591"/>
      <c r="M61" s="591">
        <f t="shared" ref="M61:N61" si="50">SUM(M59:M60)</f>
        <v>15</v>
      </c>
      <c r="N61" s="591">
        <f t="shared" si="50"/>
        <v>5.8</v>
      </c>
      <c r="O61" s="622"/>
      <c r="P61" s="622"/>
      <c r="Q61" s="591"/>
      <c r="R61" s="591"/>
      <c r="S61" s="591"/>
      <c r="T61" s="591"/>
      <c r="U61" s="591">
        <f t="shared" ref="U61:V61" si="51">SUM(U59:U60)</f>
        <v>20</v>
      </c>
      <c r="V61" s="591">
        <f t="shared" si="51"/>
        <v>10.81</v>
      </c>
      <c r="W61" s="622"/>
      <c r="X61" s="622"/>
      <c r="Y61" s="591"/>
      <c r="Z61" s="591"/>
      <c r="AA61" s="591"/>
      <c r="AB61" s="591"/>
      <c r="AC61" s="591">
        <f t="shared" ref="AC61:AD61" si="52">SUM(AC59:AC60)</f>
        <v>20</v>
      </c>
      <c r="AD61" s="591">
        <f t="shared" si="52"/>
        <v>13.61</v>
      </c>
      <c r="AE61" s="622"/>
      <c r="AF61" s="622"/>
      <c r="AG61" s="591"/>
      <c r="AH61" s="591"/>
      <c r="AI61" s="591"/>
      <c r="AJ61" s="591"/>
      <c r="AK61" s="591">
        <f t="shared" ref="AK61:AL61" si="53">SUM(AK59:AK60)</f>
        <v>15</v>
      </c>
      <c r="AL61" s="591">
        <f t="shared" si="53"/>
        <v>5.2</v>
      </c>
      <c r="AM61" s="622"/>
      <c r="AN61" s="622"/>
      <c r="AO61" s="591"/>
      <c r="AP61" s="591"/>
      <c r="AQ61" s="591"/>
      <c r="AR61" s="591"/>
      <c r="AS61" s="591">
        <f t="shared" ref="AS61:AT61" si="54">SUM(AS59:AS60)</f>
        <v>15</v>
      </c>
      <c r="AT61" s="591">
        <f t="shared" si="54"/>
        <v>10.1</v>
      </c>
      <c r="AU61" s="622"/>
      <c r="AV61" s="622"/>
      <c r="AW61" s="591"/>
      <c r="AX61" s="591"/>
      <c r="AY61" s="591"/>
      <c r="AZ61" s="591"/>
      <c r="BA61" s="591">
        <f t="shared" ref="BA61:BB61" si="55">SUM(BA59:BA60)</f>
        <v>15</v>
      </c>
      <c r="BB61" s="591">
        <f t="shared" si="55"/>
        <v>15.5</v>
      </c>
      <c r="BC61" s="622"/>
      <c r="BD61" s="622"/>
      <c r="BE61" s="591"/>
      <c r="BF61" s="591"/>
      <c r="BG61" s="591"/>
      <c r="BH61" s="591"/>
      <c r="BI61" s="591">
        <f t="shared" ref="BI61:BJ61" si="56">SUM(BI59:BI60)</f>
        <v>20</v>
      </c>
      <c r="BJ61" s="591">
        <f t="shared" si="56"/>
        <v>10</v>
      </c>
      <c r="BK61" s="622"/>
      <c r="BL61" s="622"/>
      <c r="BM61" s="591"/>
      <c r="BN61" s="591"/>
      <c r="BO61" s="591"/>
      <c r="BP61" s="591"/>
      <c r="BQ61" s="591">
        <f t="shared" ref="BQ61:BR61" si="57">SUM(BQ59:BQ60)</f>
        <v>15</v>
      </c>
      <c r="BR61" s="591">
        <f t="shared" si="57"/>
        <v>63.82</v>
      </c>
      <c r="BS61" s="622"/>
      <c r="BT61" s="622"/>
      <c r="BU61" s="591"/>
      <c r="BV61" s="591"/>
      <c r="BW61" s="591"/>
      <c r="BX61" s="591"/>
      <c r="BY61" s="591">
        <f t="shared" ref="BY61:BZ61" si="58">SUM(BY59:BY60)</f>
        <v>25</v>
      </c>
      <c r="BZ61" s="591">
        <f t="shared" si="58"/>
        <v>59.23</v>
      </c>
      <c r="CA61" s="622"/>
      <c r="CB61" s="622"/>
      <c r="CC61" s="591"/>
      <c r="CD61" s="591"/>
      <c r="CE61" s="591"/>
      <c r="CF61" s="591"/>
      <c r="CG61" s="591">
        <f t="shared" ref="CG61:CH61" si="59">SUM(CG59:CG60)</f>
        <v>20</v>
      </c>
      <c r="CH61" s="591">
        <f t="shared" si="59"/>
        <v>18.09</v>
      </c>
      <c r="CI61" s="622"/>
      <c r="CJ61" s="622"/>
      <c r="CK61" s="591"/>
      <c r="CL61" s="591"/>
      <c r="CM61" s="591"/>
      <c r="CN61" s="591"/>
      <c r="CO61" s="591">
        <f t="shared" ref="CO61:CP61" si="60">SUM(CO59:CO60)</f>
        <v>20</v>
      </c>
      <c r="CP61" s="591">
        <f t="shared" si="60"/>
        <v>0</v>
      </c>
      <c r="CQ61" s="622"/>
      <c r="CR61" s="622"/>
      <c r="CS61" s="591"/>
      <c r="CT61" s="591"/>
      <c r="CU61" s="591"/>
      <c r="CV61" s="591"/>
      <c r="CW61" s="591">
        <f t="shared" ref="CW61:CX61" si="61">SUM(CW59:CW60)</f>
        <v>20.100000000000001</v>
      </c>
      <c r="CX61" s="591">
        <f t="shared" si="61"/>
        <v>0</v>
      </c>
      <c r="CY61" s="622"/>
      <c r="CZ61" s="622"/>
      <c r="DA61" s="602"/>
      <c r="DB61" s="602"/>
      <c r="DC61" s="602"/>
      <c r="DD61" s="602"/>
      <c r="DE61" s="121">
        <f>M61+U61+AC61+AK61+AS61+BA61+BI61+BQ61+BY61+CG61+CO61+CW61</f>
        <v>220.1</v>
      </c>
      <c r="DH61" s="667"/>
    </row>
    <row r="62" spans="1:112">
      <c r="A62" s="499"/>
      <c r="B62" s="149" t="s">
        <v>54</v>
      </c>
      <c r="C62" s="553"/>
      <c r="D62" s="553"/>
      <c r="E62" s="553"/>
      <c r="F62" s="631"/>
      <c r="G62" s="553"/>
      <c r="H62" s="553"/>
      <c r="I62" s="554"/>
      <c r="J62" s="554"/>
      <c r="K62" s="554"/>
      <c r="L62" s="554"/>
      <c r="M62" s="554"/>
      <c r="N62" s="554"/>
      <c r="O62" s="554"/>
      <c r="P62" s="554"/>
      <c r="Q62" s="554"/>
      <c r="R62" s="554"/>
      <c r="S62" s="554"/>
      <c r="T62" s="554"/>
      <c r="U62" s="554"/>
      <c r="V62" s="554"/>
      <c r="W62" s="554"/>
      <c r="X62" s="554"/>
      <c r="Y62" s="554"/>
      <c r="Z62" s="554"/>
      <c r="AA62" s="554"/>
      <c r="AB62" s="554"/>
      <c r="AC62" s="554"/>
      <c r="AD62" s="554"/>
      <c r="AE62" s="554"/>
      <c r="AF62" s="554"/>
      <c r="AG62" s="554"/>
      <c r="AH62" s="554"/>
      <c r="AI62" s="554"/>
      <c r="AJ62" s="554"/>
      <c r="AK62" s="554"/>
      <c r="AL62" s="554"/>
      <c r="AM62" s="554"/>
      <c r="AN62" s="554"/>
      <c r="AO62" s="554"/>
      <c r="AP62" s="554"/>
      <c r="AQ62" s="554"/>
      <c r="AR62" s="554"/>
      <c r="AS62" s="554"/>
      <c r="AT62" s="554"/>
      <c r="AU62" s="554"/>
      <c r="AV62" s="554"/>
      <c r="AW62" s="554"/>
      <c r="AX62" s="554"/>
      <c r="AY62" s="554"/>
      <c r="AZ62" s="554"/>
      <c r="BA62" s="554"/>
      <c r="BB62" s="554"/>
      <c r="BC62" s="554"/>
      <c r="BD62" s="554"/>
      <c r="BE62" s="554"/>
      <c r="BF62" s="554"/>
      <c r="BG62" s="554"/>
      <c r="BH62" s="554"/>
      <c r="BI62" s="554"/>
      <c r="BJ62" s="554"/>
      <c r="BK62" s="554"/>
      <c r="BL62" s="554"/>
      <c r="BM62" s="554"/>
      <c r="BN62" s="554"/>
      <c r="BO62" s="554"/>
      <c r="BP62" s="554"/>
      <c r="BQ62" s="554"/>
      <c r="BR62" s="554"/>
      <c r="BS62" s="554"/>
      <c r="BT62" s="554"/>
      <c r="BU62" s="554"/>
      <c r="BV62" s="554"/>
      <c r="BW62" s="554"/>
      <c r="BX62" s="554"/>
      <c r="BY62" s="554"/>
      <c r="BZ62" s="554"/>
      <c r="CA62" s="554"/>
      <c r="CB62" s="554"/>
      <c r="CC62" s="554"/>
      <c r="CD62" s="554"/>
      <c r="CE62" s="554"/>
      <c r="CF62" s="554"/>
      <c r="CG62" s="554"/>
      <c r="CH62" s="554"/>
      <c r="CI62" s="554"/>
      <c r="CJ62" s="554"/>
      <c r="CK62" s="554"/>
      <c r="CL62" s="554"/>
      <c r="CM62" s="554"/>
      <c r="CN62" s="554"/>
      <c r="CO62" s="554"/>
      <c r="CP62" s="554"/>
      <c r="CQ62" s="554"/>
      <c r="CR62" s="554"/>
      <c r="CS62" s="554"/>
      <c r="CT62" s="554"/>
      <c r="CU62" s="554"/>
      <c r="CV62" s="554"/>
      <c r="CW62" s="554"/>
      <c r="CX62" s="554"/>
      <c r="CY62" s="554"/>
      <c r="CZ62" s="554"/>
      <c r="DA62" s="121"/>
      <c r="DB62" s="121"/>
      <c r="DC62" s="121"/>
      <c r="DD62" s="121"/>
    </row>
    <row r="63" spans="1:112" s="671" customFormat="1">
      <c r="A63" s="599"/>
      <c r="B63" s="604" t="s">
        <v>684</v>
      </c>
      <c r="C63" s="601">
        <f t="shared" ref="C63:H63" si="62">C27</f>
        <v>16103.22</v>
      </c>
      <c r="D63" s="601">
        <f t="shared" si="62"/>
        <v>16103.22</v>
      </c>
      <c r="E63" s="601">
        <f t="shared" si="62"/>
        <v>14796.699999999999</v>
      </c>
      <c r="F63" s="633"/>
      <c r="G63" s="633"/>
      <c r="H63" s="601">
        <f t="shared" si="62"/>
        <v>689.65</v>
      </c>
      <c r="I63" s="669"/>
      <c r="J63" s="669"/>
      <c r="K63" s="669"/>
      <c r="L63" s="669"/>
      <c r="M63" s="669">
        <f t="shared" ref="M63" si="63">M27</f>
        <v>26</v>
      </c>
      <c r="N63" s="669">
        <f t="shared" ref="N63" si="64">N27</f>
        <v>19.39</v>
      </c>
      <c r="O63" s="633"/>
      <c r="P63" s="633"/>
      <c r="Q63" s="669"/>
      <c r="R63" s="669"/>
      <c r="S63" s="669"/>
      <c r="T63" s="669"/>
      <c r="U63" s="669">
        <f t="shared" ref="U63:V63" si="65">U27</f>
        <v>50</v>
      </c>
      <c r="V63" s="669">
        <f t="shared" si="65"/>
        <v>34.409999999999997</v>
      </c>
      <c r="W63" s="633"/>
      <c r="X63" s="633"/>
      <c r="Y63" s="669"/>
      <c r="Z63" s="669"/>
      <c r="AA63" s="669"/>
      <c r="AB63" s="669"/>
      <c r="AC63" s="669">
        <f t="shared" ref="AC63:AD63" si="66">AC27</f>
        <v>63</v>
      </c>
      <c r="AD63" s="669">
        <f t="shared" si="66"/>
        <v>40.869999999999997</v>
      </c>
      <c r="AE63" s="633"/>
      <c r="AF63" s="633"/>
      <c r="AG63" s="669"/>
      <c r="AH63" s="669"/>
      <c r="AI63" s="669"/>
      <c r="AJ63" s="669"/>
      <c r="AK63" s="669">
        <f t="shared" ref="AK63:AL63" si="67">AK27</f>
        <v>64</v>
      </c>
      <c r="AL63" s="669">
        <f t="shared" si="67"/>
        <v>60.66</v>
      </c>
      <c r="AM63" s="633"/>
      <c r="AN63" s="633"/>
      <c r="AO63" s="669"/>
      <c r="AP63" s="669"/>
      <c r="AQ63" s="669"/>
      <c r="AR63" s="669"/>
      <c r="AS63" s="669">
        <f t="shared" ref="AS63:AT63" si="68">AS27</f>
        <v>65</v>
      </c>
      <c r="AT63" s="669">
        <f t="shared" si="68"/>
        <v>43.910000000000004</v>
      </c>
      <c r="AU63" s="633"/>
      <c r="AV63" s="633"/>
      <c r="AW63" s="669"/>
      <c r="AX63" s="669"/>
      <c r="AY63" s="669"/>
      <c r="AZ63" s="669"/>
      <c r="BA63" s="669">
        <f t="shared" ref="BA63:BB63" si="69">BA27</f>
        <v>65</v>
      </c>
      <c r="BB63" s="669">
        <f t="shared" si="69"/>
        <v>59.48</v>
      </c>
      <c r="BC63" s="633"/>
      <c r="BD63" s="633"/>
      <c r="BE63" s="669"/>
      <c r="BF63" s="669"/>
      <c r="BG63" s="669"/>
      <c r="BH63" s="669"/>
      <c r="BI63" s="669">
        <f t="shared" ref="BI63:BJ63" si="70">BI27</f>
        <v>65.400000000000006</v>
      </c>
      <c r="BJ63" s="669">
        <f t="shared" si="70"/>
        <v>100.47999999999999</v>
      </c>
      <c r="BK63" s="633"/>
      <c r="BL63" s="633"/>
      <c r="BM63" s="669"/>
      <c r="BN63" s="669"/>
      <c r="BO63" s="669"/>
      <c r="BP63" s="669"/>
      <c r="BQ63" s="669">
        <f t="shared" ref="BQ63:BR63" si="71">BQ27</f>
        <v>62.8</v>
      </c>
      <c r="BR63" s="669">
        <f t="shared" si="71"/>
        <v>53.46</v>
      </c>
      <c r="BS63" s="633"/>
      <c r="BT63" s="633"/>
      <c r="BU63" s="669"/>
      <c r="BV63" s="669"/>
      <c r="BW63" s="669"/>
      <c r="BX63" s="669"/>
      <c r="BY63" s="669">
        <f t="shared" ref="BY63:BZ63" si="72">BY27</f>
        <v>39</v>
      </c>
      <c r="BZ63" s="669">
        <f t="shared" si="72"/>
        <v>54.971864999999994</v>
      </c>
      <c r="CA63" s="633"/>
      <c r="CB63" s="633"/>
      <c r="CC63" s="669"/>
      <c r="CD63" s="669"/>
      <c r="CE63" s="669"/>
      <c r="CF63" s="669"/>
      <c r="CG63" s="669">
        <f t="shared" ref="CG63:CH63" si="73">CG27</f>
        <v>60</v>
      </c>
      <c r="CH63" s="669">
        <f t="shared" si="73"/>
        <v>43.75</v>
      </c>
      <c r="CI63" s="633"/>
      <c r="CJ63" s="633"/>
      <c r="CK63" s="669"/>
      <c r="CL63" s="669"/>
      <c r="CM63" s="669"/>
      <c r="CN63" s="669"/>
      <c r="CO63" s="669">
        <f t="shared" ref="CO63:CP63" si="74">CO27</f>
        <v>54.8</v>
      </c>
      <c r="CP63" s="669">
        <f t="shared" si="74"/>
        <v>0</v>
      </c>
      <c r="CQ63" s="633"/>
      <c r="CR63" s="633"/>
      <c r="CS63" s="669"/>
      <c r="CT63" s="669"/>
      <c r="CU63" s="669"/>
      <c r="CV63" s="669"/>
      <c r="CW63" s="669">
        <f t="shared" ref="CW63:CX63" si="75">CW27</f>
        <v>59.650000000000006</v>
      </c>
      <c r="CX63" s="669">
        <f t="shared" si="75"/>
        <v>0</v>
      </c>
      <c r="CY63" s="633"/>
      <c r="CZ63" s="633"/>
      <c r="DA63" s="670"/>
      <c r="DB63" s="670"/>
      <c r="DC63" s="670"/>
      <c r="DD63" s="670"/>
      <c r="DE63" s="131">
        <f t="shared" ref="DE63:DE66" si="76">M63+U63+AC63+AK63+AS63+BA63+BI63+BQ63+BY63+CG63+CO63+CW63</f>
        <v>674.65</v>
      </c>
      <c r="DH63" s="672"/>
    </row>
    <row r="64" spans="1:112" s="671" customFormat="1">
      <c r="A64" s="599"/>
      <c r="B64" s="604" t="s">
        <v>485</v>
      </c>
      <c r="C64" s="601">
        <f>C57</f>
        <v>3503.8900000000003</v>
      </c>
      <c r="D64" s="601">
        <f t="shared" ref="D64:H64" si="77">D57</f>
        <v>3815.0400000000004</v>
      </c>
      <c r="E64" s="601"/>
      <c r="F64" s="633"/>
      <c r="G64" s="633"/>
      <c r="H64" s="601">
        <f t="shared" si="77"/>
        <v>163.25</v>
      </c>
      <c r="I64" s="669"/>
      <c r="J64" s="669"/>
      <c r="K64" s="669"/>
      <c r="L64" s="669"/>
      <c r="M64" s="669">
        <f t="shared" ref="M64" si="78">M57</f>
        <v>0</v>
      </c>
      <c r="N64" s="669">
        <f t="shared" ref="N64" si="79">N57</f>
        <v>0.02</v>
      </c>
      <c r="O64" s="633"/>
      <c r="P64" s="633"/>
      <c r="Q64" s="669"/>
      <c r="R64" s="669"/>
      <c r="S64" s="669"/>
      <c r="T64" s="669"/>
      <c r="U64" s="669">
        <f t="shared" ref="U64:V64" si="80">U57</f>
        <v>0</v>
      </c>
      <c r="V64" s="669">
        <f t="shared" si="80"/>
        <v>0</v>
      </c>
      <c r="W64" s="633"/>
      <c r="X64" s="633"/>
      <c r="Y64" s="669"/>
      <c r="Z64" s="669"/>
      <c r="AA64" s="669"/>
      <c r="AB64" s="669"/>
      <c r="AC64" s="669">
        <f t="shared" ref="AC64:AD64" si="81">AC57</f>
        <v>0</v>
      </c>
      <c r="AD64" s="669">
        <f t="shared" si="81"/>
        <v>0.44</v>
      </c>
      <c r="AE64" s="633"/>
      <c r="AF64" s="633"/>
      <c r="AG64" s="669"/>
      <c r="AH64" s="669"/>
      <c r="AI64" s="669"/>
      <c r="AJ64" s="669"/>
      <c r="AK64" s="669">
        <f t="shared" ref="AK64:AL64" si="82">AK57</f>
        <v>0</v>
      </c>
      <c r="AL64" s="669">
        <f t="shared" si="82"/>
        <v>1.1100000000000001</v>
      </c>
      <c r="AM64" s="633"/>
      <c r="AN64" s="633"/>
      <c r="AO64" s="669"/>
      <c r="AP64" s="669"/>
      <c r="AQ64" s="669"/>
      <c r="AR64" s="669"/>
      <c r="AS64" s="669">
        <f t="shared" ref="AS64:AT64" si="83">AS57</f>
        <v>0</v>
      </c>
      <c r="AT64" s="669">
        <f t="shared" si="83"/>
        <v>0.16</v>
      </c>
      <c r="AU64" s="633"/>
      <c r="AV64" s="633"/>
      <c r="AW64" s="669"/>
      <c r="AX64" s="669"/>
      <c r="AY64" s="669"/>
      <c r="AZ64" s="669"/>
      <c r="BA64" s="669">
        <f t="shared" ref="BA64:BB64" si="84">BA57</f>
        <v>0</v>
      </c>
      <c r="BB64" s="669">
        <f t="shared" si="84"/>
        <v>0.26</v>
      </c>
      <c r="BC64" s="633"/>
      <c r="BD64" s="633"/>
      <c r="BE64" s="669"/>
      <c r="BF64" s="669"/>
      <c r="BG64" s="669"/>
      <c r="BH64" s="669"/>
      <c r="BI64" s="669">
        <f t="shared" ref="BI64:BJ64" si="85">BI57</f>
        <v>24.6</v>
      </c>
      <c r="BJ64" s="669">
        <f t="shared" si="85"/>
        <v>0</v>
      </c>
      <c r="BK64" s="633"/>
      <c r="BL64" s="633"/>
      <c r="BM64" s="669"/>
      <c r="BN64" s="669"/>
      <c r="BO64" s="669"/>
      <c r="BP64" s="669"/>
      <c r="BQ64" s="669">
        <f t="shared" ref="BQ64:BR64" si="86">BQ57</f>
        <v>41.2</v>
      </c>
      <c r="BR64" s="669">
        <f t="shared" si="86"/>
        <v>1.8199999999999998</v>
      </c>
      <c r="BS64" s="633"/>
      <c r="BT64" s="633"/>
      <c r="BU64" s="669"/>
      <c r="BV64" s="669"/>
      <c r="BW64" s="669"/>
      <c r="BX64" s="669"/>
      <c r="BY64" s="669">
        <f t="shared" ref="BY64:BZ64" si="87">BY57</f>
        <v>50</v>
      </c>
      <c r="BZ64" s="669">
        <f t="shared" si="87"/>
        <v>0</v>
      </c>
      <c r="CA64" s="633"/>
      <c r="CB64" s="633"/>
      <c r="CC64" s="669"/>
      <c r="CD64" s="669"/>
      <c r="CE64" s="669"/>
      <c r="CF64" s="669"/>
      <c r="CG64" s="669">
        <f t="shared" ref="CG64:CH64" si="88">CG57</f>
        <v>2</v>
      </c>
      <c r="CH64" s="669">
        <f t="shared" si="88"/>
        <v>48.26</v>
      </c>
      <c r="CI64" s="633"/>
      <c r="CJ64" s="633"/>
      <c r="CK64" s="669"/>
      <c r="CL64" s="669"/>
      <c r="CM64" s="669"/>
      <c r="CN64" s="669"/>
      <c r="CO64" s="669">
        <f t="shared" ref="CO64:CP64" si="89">CO57</f>
        <v>14.2</v>
      </c>
      <c r="CP64" s="669">
        <f t="shared" si="89"/>
        <v>0</v>
      </c>
      <c r="CQ64" s="633"/>
      <c r="CR64" s="633"/>
      <c r="CS64" s="669"/>
      <c r="CT64" s="669"/>
      <c r="CU64" s="669"/>
      <c r="CV64" s="669"/>
      <c r="CW64" s="669">
        <f t="shared" ref="CW64:CX64" si="90">CW57</f>
        <v>24.25</v>
      </c>
      <c r="CX64" s="669">
        <f t="shared" si="90"/>
        <v>0</v>
      </c>
      <c r="CY64" s="633"/>
      <c r="CZ64" s="633"/>
      <c r="DA64" s="670"/>
      <c r="DB64" s="670"/>
      <c r="DC64" s="670"/>
      <c r="DD64" s="670"/>
      <c r="DE64" s="131">
        <f t="shared" si="76"/>
        <v>156.25</v>
      </c>
      <c r="DH64" s="672"/>
    </row>
    <row r="65" spans="1:112" s="671" customFormat="1">
      <c r="A65" s="599"/>
      <c r="B65" s="604" t="s">
        <v>685</v>
      </c>
      <c r="C65" s="601"/>
      <c r="D65" s="601"/>
      <c r="E65" s="601"/>
      <c r="F65" s="633"/>
      <c r="G65" s="633"/>
      <c r="H65" s="601">
        <f>H61</f>
        <v>210.1</v>
      </c>
      <c r="I65" s="669"/>
      <c r="J65" s="669"/>
      <c r="K65" s="669"/>
      <c r="L65" s="669"/>
      <c r="M65" s="669">
        <f>M61</f>
        <v>15</v>
      </c>
      <c r="N65" s="669">
        <f>N61</f>
        <v>5.8</v>
      </c>
      <c r="O65" s="633"/>
      <c r="P65" s="633"/>
      <c r="Q65" s="669"/>
      <c r="R65" s="669"/>
      <c r="S65" s="669"/>
      <c r="T65" s="669"/>
      <c r="U65" s="669">
        <f>U61</f>
        <v>20</v>
      </c>
      <c r="V65" s="669">
        <f>V61</f>
        <v>10.81</v>
      </c>
      <c r="W65" s="633"/>
      <c r="X65" s="633"/>
      <c r="Y65" s="669"/>
      <c r="Z65" s="669"/>
      <c r="AA65" s="669"/>
      <c r="AB65" s="669"/>
      <c r="AC65" s="669">
        <f>AC61</f>
        <v>20</v>
      </c>
      <c r="AD65" s="669">
        <f>AD61</f>
        <v>13.61</v>
      </c>
      <c r="AE65" s="633"/>
      <c r="AF65" s="633"/>
      <c r="AG65" s="669"/>
      <c r="AH65" s="669"/>
      <c r="AI65" s="669"/>
      <c r="AJ65" s="669"/>
      <c r="AK65" s="669">
        <f>AK61</f>
        <v>15</v>
      </c>
      <c r="AL65" s="669">
        <f>AL61</f>
        <v>5.2</v>
      </c>
      <c r="AM65" s="633"/>
      <c r="AN65" s="633"/>
      <c r="AO65" s="669"/>
      <c r="AP65" s="669"/>
      <c r="AQ65" s="669"/>
      <c r="AR65" s="669"/>
      <c r="AS65" s="669">
        <f>AS61</f>
        <v>15</v>
      </c>
      <c r="AT65" s="669">
        <f>AT61</f>
        <v>10.1</v>
      </c>
      <c r="AU65" s="633"/>
      <c r="AV65" s="633"/>
      <c r="AW65" s="669"/>
      <c r="AX65" s="669"/>
      <c r="AY65" s="669"/>
      <c r="AZ65" s="669"/>
      <c r="BA65" s="669">
        <f>BA61</f>
        <v>15</v>
      </c>
      <c r="BB65" s="669">
        <f>BB61</f>
        <v>15.5</v>
      </c>
      <c r="BC65" s="633"/>
      <c r="BD65" s="633"/>
      <c r="BE65" s="669"/>
      <c r="BF65" s="669"/>
      <c r="BG65" s="669"/>
      <c r="BH65" s="669"/>
      <c r="BI65" s="669">
        <f>BI61</f>
        <v>20</v>
      </c>
      <c r="BJ65" s="669">
        <f>BJ61</f>
        <v>10</v>
      </c>
      <c r="BK65" s="633"/>
      <c r="BL65" s="633"/>
      <c r="BM65" s="669"/>
      <c r="BN65" s="669"/>
      <c r="BO65" s="669"/>
      <c r="BP65" s="669"/>
      <c r="BQ65" s="669">
        <f>BQ61</f>
        <v>15</v>
      </c>
      <c r="BR65" s="669">
        <f>BR61</f>
        <v>63.82</v>
      </c>
      <c r="BS65" s="633"/>
      <c r="BT65" s="633"/>
      <c r="BU65" s="669"/>
      <c r="BV65" s="669"/>
      <c r="BW65" s="669"/>
      <c r="BX65" s="669"/>
      <c r="BY65" s="669">
        <f>BY61</f>
        <v>25</v>
      </c>
      <c r="BZ65" s="669">
        <f>BZ61</f>
        <v>59.23</v>
      </c>
      <c r="CA65" s="633"/>
      <c r="CB65" s="633"/>
      <c r="CC65" s="669"/>
      <c r="CD65" s="669"/>
      <c r="CE65" s="669"/>
      <c r="CF65" s="669"/>
      <c r="CG65" s="669">
        <f>CG61</f>
        <v>20</v>
      </c>
      <c r="CH65" s="669">
        <f>CH61</f>
        <v>18.09</v>
      </c>
      <c r="CI65" s="633"/>
      <c r="CJ65" s="633"/>
      <c r="CK65" s="669"/>
      <c r="CL65" s="669"/>
      <c r="CM65" s="669"/>
      <c r="CN65" s="669"/>
      <c r="CO65" s="669">
        <f>CO61</f>
        <v>20</v>
      </c>
      <c r="CP65" s="669">
        <f>CP61</f>
        <v>0</v>
      </c>
      <c r="CQ65" s="633"/>
      <c r="CR65" s="633"/>
      <c r="CS65" s="669"/>
      <c r="CT65" s="669"/>
      <c r="CU65" s="669"/>
      <c r="CV65" s="669"/>
      <c r="CW65" s="669">
        <f>CW61</f>
        <v>20.100000000000001</v>
      </c>
      <c r="CX65" s="669">
        <f>CX61</f>
        <v>0</v>
      </c>
      <c r="CY65" s="633"/>
      <c r="CZ65" s="633"/>
      <c r="DA65" s="670"/>
      <c r="DB65" s="670"/>
      <c r="DC65" s="670"/>
      <c r="DD65" s="670"/>
      <c r="DE65" s="131">
        <f t="shared" si="76"/>
        <v>220.1</v>
      </c>
      <c r="DH65" s="672"/>
    </row>
    <row r="66" spans="1:112" s="671" customFormat="1">
      <c r="A66" s="599"/>
      <c r="B66" s="604" t="s">
        <v>617</v>
      </c>
      <c r="C66" s="601"/>
      <c r="D66" s="601"/>
      <c r="E66" s="601"/>
      <c r="F66" s="633"/>
      <c r="G66" s="633"/>
      <c r="H66" s="601">
        <f t="shared" ref="H66" si="91">SUM(H63:H65)</f>
        <v>1063</v>
      </c>
      <c r="I66" s="669">
        <f>M66*0.2</f>
        <v>8.2000000000000011</v>
      </c>
      <c r="J66" s="669">
        <v>17</v>
      </c>
      <c r="K66" s="669">
        <f>N66*0.8</f>
        <v>40.24</v>
      </c>
      <c r="L66" s="601">
        <f>N66-J66</f>
        <v>33.299999999999997</v>
      </c>
      <c r="M66" s="669">
        <f t="shared" ref="M66" si="92">SUM(M63:M65)</f>
        <v>41</v>
      </c>
      <c r="N66" s="601">
        <f>SUM(N63:N65)+N67</f>
        <v>50.3</v>
      </c>
      <c r="O66" s="633"/>
      <c r="P66" s="633"/>
      <c r="Q66" s="669">
        <f>U66*0.2</f>
        <v>14</v>
      </c>
      <c r="R66" s="669">
        <v>0</v>
      </c>
      <c r="S66" s="669">
        <f>U66*0.8</f>
        <v>56</v>
      </c>
      <c r="T66" s="601">
        <f>V66-R66</f>
        <v>70.709999999999994</v>
      </c>
      <c r="U66" s="669">
        <f t="shared" ref="U66" si="93">SUM(U63:U65)</f>
        <v>70</v>
      </c>
      <c r="V66" s="669">
        <f>SUM(V63:V65)+V67</f>
        <v>70.709999999999994</v>
      </c>
      <c r="W66" s="633"/>
      <c r="X66" s="633"/>
      <c r="Y66" s="669">
        <f>AC66*0.2</f>
        <v>16.600000000000001</v>
      </c>
      <c r="Z66" s="669">
        <v>28</v>
      </c>
      <c r="AA66" s="669">
        <f>AC66*0.8</f>
        <v>66.400000000000006</v>
      </c>
      <c r="AB66" s="601">
        <f>AD66-Z66</f>
        <v>55.199999999999989</v>
      </c>
      <c r="AC66" s="669">
        <f t="shared" ref="AC66" si="94">SUM(AC63:AC65)</f>
        <v>83</v>
      </c>
      <c r="AD66" s="601">
        <f>SUM(AD63:AD65)+AD67</f>
        <v>83.199999999999989</v>
      </c>
      <c r="AE66" s="633"/>
      <c r="AF66" s="633"/>
      <c r="AG66" s="669">
        <f>AK66*0.2</f>
        <v>15.8</v>
      </c>
      <c r="AH66" s="669">
        <v>0</v>
      </c>
      <c r="AI66" s="669">
        <f>AK66*0.8</f>
        <v>63.2</v>
      </c>
      <c r="AJ66" s="601">
        <f>AL66-AH66</f>
        <v>90.22</v>
      </c>
      <c r="AK66" s="669">
        <f t="shared" ref="AK66" si="95">SUM(AK63:AK65)</f>
        <v>79</v>
      </c>
      <c r="AL66" s="669">
        <f>SUM(AL63:AL65)+AL67</f>
        <v>90.22</v>
      </c>
      <c r="AM66" s="633"/>
      <c r="AN66" s="633"/>
      <c r="AO66" s="669">
        <f>AS66*0.2</f>
        <v>16</v>
      </c>
      <c r="AP66" s="669">
        <v>0</v>
      </c>
      <c r="AQ66" s="669">
        <f>AS66*0.8</f>
        <v>64</v>
      </c>
      <c r="AR66" s="601">
        <f>AT66-AP66</f>
        <v>84.4</v>
      </c>
      <c r="AS66" s="669">
        <f t="shared" ref="AS66" si="96">SUM(AS63:AS65)</f>
        <v>80</v>
      </c>
      <c r="AT66" s="601">
        <f>SUM(AT63:AT65)+AT67</f>
        <v>84.4</v>
      </c>
      <c r="AU66" s="633"/>
      <c r="AV66" s="633"/>
      <c r="AW66" s="669">
        <f>BA66*0.2</f>
        <v>16</v>
      </c>
      <c r="AX66" s="669">
        <v>0</v>
      </c>
      <c r="AY66" s="669">
        <f>BA66*0.8</f>
        <v>64</v>
      </c>
      <c r="AZ66" s="601">
        <f>BB66-AX66</f>
        <v>75.239999999999995</v>
      </c>
      <c r="BA66" s="669">
        <f t="shared" ref="BA66:BB66" si="97">SUM(BA63:BA65)</f>
        <v>80</v>
      </c>
      <c r="BB66" s="669">
        <f t="shared" si="97"/>
        <v>75.239999999999995</v>
      </c>
      <c r="BC66" s="633"/>
      <c r="BD66" s="633"/>
      <c r="BE66" s="669">
        <f>BI66*0.2</f>
        <v>22</v>
      </c>
      <c r="BF66" s="669">
        <v>0</v>
      </c>
      <c r="BG66" s="669">
        <f>BI66*0.8</f>
        <v>88</v>
      </c>
      <c r="BH66" s="601">
        <f>BJ66-BF66</f>
        <v>110.47999999999999</v>
      </c>
      <c r="BI66" s="669">
        <f t="shared" ref="BI66:BJ66" si="98">SUM(BI63:BI65)</f>
        <v>110</v>
      </c>
      <c r="BJ66" s="669">
        <f t="shared" si="98"/>
        <v>110.47999999999999</v>
      </c>
      <c r="BK66" s="633"/>
      <c r="BL66" s="633"/>
      <c r="BM66" s="669">
        <f>BQ66*0.2</f>
        <v>23.8</v>
      </c>
      <c r="BN66" s="669">
        <v>0</v>
      </c>
      <c r="BO66" s="669">
        <f>BQ66*0.8</f>
        <v>95.2</v>
      </c>
      <c r="BP66" s="601">
        <f>BR66-BN66</f>
        <v>119.1</v>
      </c>
      <c r="BQ66" s="669">
        <f t="shared" ref="BQ66:BR66" si="99">SUM(BQ63:BQ65)</f>
        <v>119</v>
      </c>
      <c r="BR66" s="669">
        <f t="shared" si="99"/>
        <v>119.1</v>
      </c>
      <c r="BS66" s="633"/>
      <c r="BT66" s="633"/>
      <c r="BU66" s="669">
        <f>BY66*0.2</f>
        <v>22.8</v>
      </c>
      <c r="BV66" s="669">
        <v>0</v>
      </c>
      <c r="BW66" s="669">
        <f>BY66*0.8</f>
        <v>91.2</v>
      </c>
      <c r="BX66" s="601">
        <f>BZ66-BV66</f>
        <v>114.201865</v>
      </c>
      <c r="BY66" s="669">
        <f t="shared" ref="BY66:BZ66" si="100">SUM(BY63:BY65)</f>
        <v>114</v>
      </c>
      <c r="BZ66" s="601">
        <f t="shared" si="100"/>
        <v>114.201865</v>
      </c>
      <c r="CA66" s="633"/>
      <c r="CB66" s="633"/>
      <c r="CC66" s="669">
        <f>CG66*0.2</f>
        <v>16.400000000000002</v>
      </c>
      <c r="CD66" s="669">
        <v>0</v>
      </c>
      <c r="CE66" s="669">
        <f>CG66*0.8</f>
        <v>65.600000000000009</v>
      </c>
      <c r="CF66" s="601">
        <f>CH66-CD66</f>
        <v>110.1</v>
      </c>
      <c r="CG66" s="669">
        <f t="shared" ref="CG66:CH66" si="101">SUM(CG63:CG65)</f>
        <v>82</v>
      </c>
      <c r="CH66" s="669">
        <f t="shared" si="101"/>
        <v>110.1</v>
      </c>
      <c r="CI66" s="633"/>
      <c r="CJ66" s="633"/>
      <c r="CK66" s="669">
        <f>CO66*0.2</f>
        <v>17.8</v>
      </c>
      <c r="CL66" s="669">
        <v>0</v>
      </c>
      <c r="CM66" s="669">
        <f>CO66*0.8</f>
        <v>71.2</v>
      </c>
      <c r="CN66" s="601">
        <f>CP66-CL66</f>
        <v>0</v>
      </c>
      <c r="CO66" s="669">
        <f t="shared" ref="CO66:CP66" si="102">SUM(CO63:CO65)</f>
        <v>89</v>
      </c>
      <c r="CP66" s="669">
        <f t="shared" si="102"/>
        <v>0</v>
      </c>
      <c r="CQ66" s="633"/>
      <c r="CR66" s="633"/>
      <c r="CS66" s="669">
        <f>CW66*0.2</f>
        <v>20.8</v>
      </c>
      <c r="CT66" s="669">
        <v>0</v>
      </c>
      <c r="CU66" s="669">
        <f>CW66*0.8</f>
        <v>83.2</v>
      </c>
      <c r="CV66" s="601">
        <f>CX66-CT66</f>
        <v>0</v>
      </c>
      <c r="CW66" s="669">
        <f t="shared" ref="CW66:CX66" si="103">SUM(CW63:CW65)</f>
        <v>104</v>
      </c>
      <c r="CX66" s="669">
        <f t="shared" si="103"/>
        <v>0</v>
      </c>
      <c r="CY66" s="633"/>
      <c r="CZ66" s="633"/>
      <c r="DA66" s="669"/>
      <c r="DB66" s="669"/>
      <c r="DC66" s="669"/>
      <c r="DD66" s="601"/>
      <c r="DE66" s="131">
        <f t="shared" si="76"/>
        <v>1051</v>
      </c>
      <c r="DH66" s="672"/>
    </row>
    <row r="67" spans="1:112">
      <c r="A67" s="121"/>
      <c r="M67" s="567" t="s">
        <v>759</v>
      </c>
      <c r="N67" s="577">
        <v>25.09</v>
      </c>
      <c r="U67" s="567" t="s">
        <v>759</v>
      </c>
      <c r="V67" s="577">
        <v>25.49</v>
      </c>
      <c r="AC67" s="567" t="s">
        <v>759</v>
      </c>
      <c r="AD67" s="577">
        <v>28.28</v>
      </c>
      <c r="AJ67" s="707" t="s">
        <v>759</v>
      </c>
      <c r="AK67" s="707"/>
      <c r="AL67" s="676">
        <v>23.25</v>
      </c>
      <c r="AM67" s="637"/>
      <c r="AN67" s="637"/>
      <c r="AR67" s="707" t="s">
        <v>759</v>
      </c>
      <c r="AS67" s="707"/>
      <c r="AT67" s="676">
        <v>30.23</v>
      </c>
      <c r="AU67" s="637"/>
      <c r="AV67" s="637"/>
      <c r="BA67" s="564"/>
      <c r="BB67" s="564"/>
      <c r="BC67" s="637"/>
      <c r="BD67" s="637"/>
      <c r="BI67" s="564"/>
      <c r="BJ67" s="564"/>
      <c r="BK67" s="637"/>
      <c r="BL67" s="637"/>
      <c r="BQ67" s="564"/>
      <c r="BR67" s="564"/>
      <c r="BS67" s="637"/>
      <c r="BT67" s="637"/>
      <c r="BY67" s="564"/>
      <c r="BZ67" s="564"/>
      <c r="CA67" s="637"/>
      <c r="CB67" s="637"/>
      <c r="CG67" s="564"/>
      <c r="CH67" s="564"/>
      <c r="CI67" s="637"/>
      <c r="CJ67" s="637"/>
      <c r="CO67" s="564"/>
      <c r="CP67" s="564"/>
      <c r="CQ67" s="637"/>
      <c r="CR67" s="637"/>
      <c r="CW67" s="564"/>
      <c r="CX67" s="564"/>
      <c r="CY67" s="637"/>
      <c r="CZ67" s="637"/>
      <c r="DA67" s="121"/>
      <c r="DB67" s="121"/>
      <c r="DC67" s="121"/>
      <c r="DD67" s="121"/>
    </row>
    <row r="68" spans="1:112">
      <c r="A68" s="121"/>
      <c r="AK68" s="564"/>
      <c r="AL68" s="564"/>
      <c r="AM68" s="637"/>
      <c r="AN68" s="637"/>
      <c r="AS68" s="564"/>
      <c r="AT68" s="564"/>
      <c r="AU68" s="637"/>
      <c r="AV68" s="637"/>
      <c r="BA68" s="564"/>
      <c r="BB68" s="564"/>
      <c r="BC68" s="637"/>
      <c r="BD68" s="637"/>
      <c r="BI68" s="564"/>
      <c r="BJ68" s="564"/>
      <c r="BK68" s="637"/>
      <c r="BL68" s="637"/>
      <c r="BQ68" s="564"/>
      <c r="BR68" s="564"/>
      <c r="BS68" s="637"/>
      <c r="BT68" s="637"/>
      <c r="BY68" s="564"/>
      <c r="BZ68" s="564"/>
      <c r="CA68" s="637"/>
      <c r="CB68" s="637"/>
      <c r="CG68" s="564"/>
      <c r="CH68" s="564"/>
      <c r="CI68" s="637"/>
      <c r="CJ68" s="637"/>
      <c r="CO68" s="564"/>
      <c r="CP68" s="564"/>
      <c r="CQ68" s="637"/>
      <c r="CR68" s="637"/>
      <c r="CW68" s="564"/>
      <c r="CX68" s="564"/>
      <c r="CY68" s="637"/>
      <c r="CZ68" s="637"/>
      <c r="DA68" s="121"/>
      <c r="DB68" s="121"/>
      <c r="DC68" s="121"/>
      <c r="DD68" s="121"/>
    </row>
    <row r="69" spans="1:112" ht="20.25" customHeight="1">
      <c r="B69" s="523" t="s">
        <v>699</v>
      </c>
      <c r="AK69" s="564"/>
      <c r="AL69" s="564"/>
      <c r="AM69" s="637"/>
      <c r="AN69" s="637"/>
      <c r="AS69" s="564"/>
      <c r="AT69" s="564"/>
      <c r="AU69" s="637"/>
      <c r="AV69" s="637"/>
      <c r="BA69" s="564"/>
      <c r="BB69" s="564"/>
      <c r="BC69" s="637"/>
      <c r="BD69" s="637"/>
      <c r="BI69" s="564"/>
      <c r="BJ69" s="564"/>
      <c r="BK69" s="637"/>
      <c r="BL69" s="637"/>
      <c r="BQ69" s="564"/>
      <c r="BR69" s="564"/>
      <c r="BS69" s="637"/>
      <c r="BT69" s="637"/>
      <c r="BY69" s="564"/>
      <c r="BZ69" s="564"/>
      <c r="CA69" s="637"/>
      <c r="CB69" s="637"/>
      <c r="CG69" s="564"/>
      <c r="CH69" s="564"/>
      <c r="CI69" s="637"/>
      <c r="CJ69" s="637"/>
      <c r="CO69" s="564"/>
      <c r="CP69" s="564"/>
      <c r="CQ69" s="637"/>
      <c r="CR69" s="637"/>
      <c r="CW69" s="564"/>
      <c r="CX69" s="564"/>
      <c r="CY69" s="637"/>
      <c r="CZ69" s="637"/>
      <c r="DA69" s="121"/>
      <c r="DB69" s="121"/>
      <c r="DC69" s="121"/>
      <c r="DD69" s="121"/>
    </row>
    <row r="70" spans="1:112" ht="20.25" customHeight="1">
      <c r="B70" s="521" t="s">
        <v>700</v>
      </c>
      <c r="C70" s="565"/>
      <c r="D70" s="565"/>
      <c r="E70" s="565"/>
      <c r="AK70" s="564"/>
      <c r="AL70" s="564"/>
      <c r="AM70" s="637"/>
      <c r="AN70" s="637"/>
      <c r="AS70" s="564"/>
      <c r="AT70" s="564"/>
      <c r="AU70" s="637"/>
      <c r="AV70" s="637"/>
      <c r="BA70" s="564"/>
      <c r="BB70" s="564"/>
      <c r="BC70" s="637"/>
      <c r="BD70" s="637"/>
      <c r="BI70" s="564"/>
      <c r="BJ70" s="564"/>
      <c r="BK70" s="637"/>
      <c r="BL70" s="637"/>
      <c r="BQ70" s="564"/>
      <c r="BR70" s="564"/>
      <c r="BS70" s="637"/>
      <c r="BT70" s="637"/>
      <c r="BY70" s="564"/>
      <c r="BZ70" s="564"/>
      <c r="CA70" s="637"/>
      <c r="CB70" s="637"/>
      <c r="CG70" s="564"/>
      <c r="CH70" s="564"/>
      <c r="CI70" s="637"/>
      <c r="CJ70" s="637"/>
      <c r="CO70" s="564"/>
      <c r="CP70" s="564"/>
      <c r="CQ70" s="637"/>
      <c r="CR70" s="637"/>
      <c r="CW70" s="564"/>
      <c r="CX70" s="564"/>
      <c r="CY70" s="637"/>
      <c r="CZ70" s="637"/>
      <c r="DA70" s="121"/>
      <c r="DB70" s="121"/>
      <c r="DC70" s="121"/>
      <c r="DD70" s="121"/>
    </row>
    <row r="71" spans="1:112" ht="20.25" customHeight="1">
      <c r="B71" s="521" t="s">
        <v>701</v>
      </c>
      <c r="C71" s="565"/>
      <c r="D71" s="565"/>
      <c r="E71" s="565"/>
      <c r="AK71" s="564"/>
      <c r="AL71" s="564"/>
      <c r="AM71" s="637"/>
      <c r="AN71" s="637"/>
      <c r="AS71" s="564"/>
      <c r="AT71" s="564"/>
      <c r="AU71" s="637"/>
      <c r="AV71" s="637"/>
      <c r="BA71" s="564"/>
      <c r="BB71" s="564"/>
      <c r="BC71" s="637"/>
      <c r="BD71" s="637"/>
      <c r="BI71" s="564"/>
      <c r="BJ71" s="564"/>
      <c r="BK71" s="637"/>
      <c r="BL71" s="637"/>
      <c r="BQ71" s="564"/>
      <c r="BR71" s="564"/>
      <c r="BS71" s="637"/>
      <c r="BT71" s="637"/>
      <c r="BY71" s="564"/>
      <c r="BZ71" s="564"/>
      <c r="CA71" s="637"/>
      <c r="CB71" s="637"/>
      <c r="CG71" s="564"/>
      <c r="CH71" s="564"/>
      <c r="CI71" s="637"/>
      <c r="CJ71" s="637"/>
      <c r="CO71" s="564"/>
      <c r="CP71" s="564"/>
      <c r="CQ71" s="637"/>
      <c r="CR71" s="637"/>
      <c r="CW71" s="564"/>
      <c r="CX71" s="564"/>
      <c r="CY71" s="637"/>
      <c r="CZ71" s="637"/>
      <c r="DA71" s="121"/>
      <c r="DB71" s="121"/>
      <c r="DC71" s="121"/>
      <c r="DD71" s="121"/>
    </row>
    <row r="72" spans="1:112" ht="20.25" customHeight="1">
      <c r="B72" s="521" t="s">
        <v>702</v>
      </c>
      <c r="AK72" s="564"/>
      <c r="AL72" s="564"/>
      <c r="AM72" s="637"/>
      <c r="AN72" s="637"/>
      <c r="AS72" s="564"/>
      <c r="AT72" s="564"/>
      <c r="AU72" s="637"/>
      <c r="AV72" s="637"/>
      <c r="BA72" s="564"/>
      <c r="BB72" s="564"/>
      <c r="BC72" s="637"/>
      <c r="BD72" s="637"/>
      <c r="BI72" s="564"/>
      <c r="BJ72" s="564"/>
      <c r="BK72" s="637"/>
      <c r="BL72" s="637"/>
      <c r="BQ72" s="564"/>
      <c r="BR72" s="564"/>
      <c r="BS72" s="637"/>
      <c r="BT72" s="637"/>
      <c r="BY72" s="564"/>
      <c r="BZ72" s="564"/>
      <c r="CA72" s="637"/>
      <c r="CB72" s="637"/>
      <c r="CG72" s="564"/>
      <c r="CH72" s="564"/>
      <c r="CI72" s="637"/>
      <c r="CJ72" s="637"/>
      <c r="CO72" s="564"/>
      <c r="CP72" s="564"/>
      <c r="CQ72" s="637"/>
      <c r="CR72" s="637"/>
      <c r="CW72" s="564"/>
      <c r="CX72" s="564"/>
      <c r="CY72" s="637"/>
      <c r="CZ72" s="637"/>
      <c r="DA72" s="121"/>
      <c r="DB72" s="121"/>
      <c r="DC72" s="121"/>
      <c r="DD72" s="121"/>
    </row>
    <row r="73" spans="1:112">
      <c r="AK73" s="564"/>
      <c r="AL73" s="564"/>
      <c r="AM73" s="637"/>
      <c r="AN73" s="637"/>
      <c r="AS73" s="564"/>
      <c r="AT73" s="564"/>
      <c r="AU73" s="637"/>
      <c r="AV73" s="637"/>
      <c r="BA73" s="564"/>
      <c r="BB73" s="564"/>
      <c r="BC73" s="637"/>
      <c r="BD73" s="637"/>
      <c r="BI73" s="564"/>
      <c r="BJ73" s="564"/>
      <c r="BK73" s="637"/>
      <c r="BL73" s="637"/>
      <c r="BQ73" s="564"/>
      <c r="BR73" s="564"/>
      <c r="BS73" s="637"/>
      <c r="BT73" s="637"/>
      <c r="BY73" s="564"/>
      <c r="BZ73" s="564"/>
      <c r="CA73" s="637"/>
      <c r="CB73" s="637"/>
      <c r="CG73" s="564"/>
      <c r="CH73" s="564"/>
      <c r="CI73" s="637"/>
      <c r="CJ73" s="637"/>
      <c r="CO73" s="564"/>
      <c r="CP73" s="564"/>
      <c r="CQ73" s="637"/>
      <c r="CR73" s="637"/>
      <c r="CW73" s="564"/>
      <c r="CX73" s="564"/>
      <c r="CY73" s="637"/>
      <c r="CZ73" s="637"/>
      <c r="DA73" s="121"/>
      <c r="DB73" s="121"/>
      <c r="DC73" s="121"/>
      <c r="DD73" s="121"/>
    </row>
    <row r="74" spans="1:112">
      <c r="AK74" s="564"/>
      <c r="AL74" s="564"/>
      <c r="AM74" s="637"/>
      <c r="AN74" s="637"/>
      <c r="AS74" s="564"/>
      <c r="AT74" s="564"/>
      <c r="AU74" s="637"/>
      <c r="AV74" s="637"/>
      <c r="BA74" s="564"/>
      <c r="BB74" s="564"/>
      <c r="BC74" s="637"/>
      <c r="BD74" s="637"/>
      <c r="BI74" s="564"/>
      <c r="BJ74" s="564"/>
      <c r="BK74" s="637"/>
      <c r="BL74" s="637"/>
      <c r="BQ74" s="564"/>
      <c r="BR74" s="564"/>
      <c r="BS74" s="637"/>
      <c r="BT74" s="637"/>
      <c r="BY74" s="564"/>
      <c r="BZ74" s="564"/>
      <c r="CA74" s="637"/>
      <c r="CB74" s="637"/>
      <c r="CG74" s="564"/>
      <c r="CH74" s="564"/>
      <c r="CI74" s="637"/>
      <c r="CJ74" s="637"/>
      <c r="CO74" s="564"/>
      <c r="CP74" s="564"/>
      <c r="CQ74" s="637"/>
      <c r="CR74" s="637"/>
      <c r="CW74" s="564"/>
      <c r="CX74" s="564"/>
      <c r="CY74" s="637"/>
      <c r="CZ74" s="637"/>
      <c r="DA74" s="121"/>
      <c r="DB74" s="121"/>
      <c r="DC74" s="121"/>
      <c r="DD74" s="121"/>
    </row>
    <row r="75" spans="1:112">
      <c r="AK75" s="564"/>
      <c r="AL75" s="564"/>
      <c r="AM75" s="637"/>
      <c r="AN75" s="637"/>
      <c r="AS75" s="564"/>
      <c r="AT75" s="564"/>
      <c r="AU75" s="637"/>
      <c r="AV75" s="637"/>
      <c r="BA75" s="564"/>
      <c r="BB75" s="564"/>
      <c r="BC75" s="637"/>
      <c r="BD75" s="637"/>
      <c r="BI75" s="564"/>
      <c r="BJ75" s="564"/>
      <c r="BK75" s="637"/>
      <c r="BL75" s="637"/>
      <c r="BQ75" s="564"/>
      <c r="BR75" s="564"/>
      <c r="BS75" s="637"/>
      <c r="BT75" s="637"/>
      <c r="BY75" s="564"/>
      <c r="BZ75" s="564"/>
      <c r="CA75" s="637"/>
      <c r="CB75" s="637"/>
      <c r="CG75" s="564"/>
      <c r="CH75" s="564"/>
      <c r="CI75" s="637"/>
      <c r="CJ75" s="637"/>
      <c r="CO75" s="564"/>
      <c r="CP75" s="564"/>
      <c r="CQ75" s="637"/>
      <c r="CR75" s="637"/>
      <c r="CW75" s="564"/>
      <c r="CX75" s="564"/>
      <c r="CY75" s="637"/>
      <c r="CZ75" s="637"/>
      <c r="DA75" s="121"/>
      <c r="DB75" s="121"/>
      <c r="DC75" s="121"/>
      <c r="DD75" s="121"/>
    </row>
    <row r="76" spans="1:112">
      <c r="AK76" s="564"/>
      <c r="AL76" s="564"/>
      <c r="AM76" s="637"/>
      <c r="AN76" s="637"/>
      <c r="AS76" s="564"/>
      <c r="AT76" s="564"/>
      <c r="AU76" s="637"/>
      <c r="AV76" s="637"/>
      <c r="BA76" s="564"/>
      <c r="BB76" s="564"/>
      <c r="BC76" s="637"/>
      <c r="BD76" s="637"/>
      <c r="BI76" s="564"/>
      <c r="BJ76" s="564"/>
      <c r="BK76" s="637"/>
      <c r="BL76" s="637"/>
      <c r="BQ76" s="564"/>
      <c r="BR76" s="564"/>
      <c r="BS76" s="637"/>
      <c r="BT76" s="637"/>
      <c r="BY76" s="564"/>
      <c r="BZ76" s="564"/>
      <c r="CA76" s="637"/>
      <c r="CB76" s="637"/>
      <c r="CG76" s="564"/>
      <c r="CH76" s="564"/>
      <c r="CI76" s="637"/>
      <c r="CJ76" s="637"/>
      <c r="CO76" s="564"/>
      <c r="CP76" s="564"/>
      <c r="CQ76" s="637"/>
      <c r="CR76" s="637"/>
      <c r="CW76" s="564"/>
      <c r="CX76" s="564"/>
      <c r="CY76" s="637"/>
      <c r="CZ76" s="637"/>
      <c r="DA76" s="121"/>
      <c r="DB76" s="121"/>
      <c r="DC76" s="121"/>
      <c r="DD76" s="121"/>
    </row>
    <row r="77" spans="1:112">
      <c r="AK77" s="564"/>
      <c r="AL77" s="564"/>
      <c r="AM77" s="637"/>
      <c r="AN77" s="637"/>
      <c r="AS77" s="564"/>
      <c r="AT77" s="564"/>
      <c r="AU77" s="637"/>
      <c r="AV77" s="637"/>
      <c r="BA77" s="564"/>
      <c r="BB77" s="564"/>
      <c r="BC77" s="637"/>
      <c r="BD77" s="637"/>
      <c r="BI77" s="564"/>
      <c r="BJ77" s="564"/>
      <c r="BK77" s="637"/>
      <c r="BL77" s="637"/>
      <c r="BQ77" s="564"/>
      <c r="BR77" s="564"/>
      <c r="BS77" s="637"/>
      <c r="BT77" s="637"/>
      <c r="BY77" s="564"/>
      <c r="BZ77" s="564"/>
      <c r="CA77" s="637"/>
      <c r="CB77" s="637"/>
      <c r="CG77" s="564"/>
      <c r="CH77" s="564"/>
      <c r="CI77" s="637"/>
      <c r="CJ77" s="637"/>
      <c r="CO77" s="564"/>
      <c r="CP77" s="564"/>
      <c r="CQ77" s="637"/>
      <c r="CR77" s="637"/>
      <c r="CW77" s="564"/>
      <c r="CX77" s="564"/>
      <c r="CY77" s="637"/>
      <c r="CZ77" s="637"/>
      <c r="DA77" s="121"/>
      <c r="DB77" s="121"/>
      <c r="DC77" s="121"/>
      <c r="DD77" s="121"/>
    </row>
    <row r="78" spans="1:112">
      <c r="AK78" s="564"/>
      <c r="AL78" s="564"/>
      <c r="AM78" s="637"/>
      <c r="AN78" s="637"/>
      <c r="AS78" s="564"/>
      <c r="AT78" s="564"/>
      <c r="AU78" s="637"/>
      <c r="AV78" s="637"/>
      <c r="BA78" s="564"/>
      <c r="BB78" s="564"/>
      <c r="BC78" s="637"/>
      <c r="BD78" s="637"/>
      <c r="BI78" s="564"/>
      <c r="BJ78" s="564"/>
      <c r="BK78" s="637"/>
      <c r="BL78" s="637"/>
      <c r="BQ78" s="564"/>
      <c r="BR78" s="564"/>
      <c r="BS78" s="637"/>
      <c r="BT78" s="637"/>
      <c r="BY78" s="564"/>
      <c r="BZ78" s="564"/>
      <c r="CA78" s="637"/>
      <c r="CB78" s="637"/>
      <c r="CG78" s="564"/>
      <c r="CH78" s="564"/>
      <c r="CI78" s="637"/>
      <c r="CJ78" s="637"/>
      <c r="CO78" s="564"/>
      <c r="CP78" s="564"/>
      <c r="CQ78" s="637"/>
      <c r="CR78" s="637"/>
      <c r="CW78" s="564"/>
      <c r="CX78" s="564"/>
      <c r="CY78" s="637"/>
      <c r="CZ78" s="637"/>
      <c r="DA78" s="121"/>
      <c r="DB78" s="121"/>
      <c r="DC78" s="121"/>
      <c r="DD78" s="121"/>
    </row>
    <row r="79" spans="1:112">
      <c r="AK79" s="564"/>
      <c r="AL79" s="564"/>
      <c r="AM79" s="637"/>
      <c r="AN79" s="637"/>
      <c r="AS79" s="564"/>
      <c r="AT79" s="564"/>
      <c r="AU79" s="637"/>
      <c r="AV79" s="637"/>
      <c r="BA79" s="564"/>
      <c r="BB79" s="564"/>
      <c r="BC79" s="637"/>
      <c r="BD79" s="637"/>
      <c r="BI79" s="564"/>
      <c r="BJ79" s="564"/>
      <c r="BK79" s="637"/>
      <c r="BL79" s="637"/>
      <c r="BQ79" s="564"/>
      <c r="BR79" s="564"/>
      <c r="BS79" s="637"/>
      <c r="BT79" s="637"/>
      <c r="BY79" s="564"/>
      <c r="BZ79" s="564"/>
      <c r="CA79" s="637"/>
      <c r="CB79" s="637"/>
      <c r="CG79" s="564"/>
      <c r="CH79" s="564"/>
      <c r="CI79" s="637"/>
      <c r="CJ79" s="637"/>
      <c r="CO79" s="564"/>
      <c r="CP79" s="564"/>
      <c r="CQ79" s="637"/>
      <c r="CR79" s="637"/>
      <c r="CW79" s="564"/>
      <c r="CX79" s="564"/>
      <c r="CY79" s="637"/>
      <c r="CZ79" s="637"/>
      <c r="DA79" s="121"/>
      <c r="DB79" s="121"/>
      <c r="DC79" s="121"/>
      <c r="DD79" s="121"/>
    </row>
  </sheetData>
  <mergeCells count="20">
    <mergeCell ref="CS4:CZ4"/>
    <mergeCell ref="Y4:AF4"/>
    <mergeCell ref="AG4:AN4"/>
    <mergeCell ref="AO4:AV4"/>
    <mergeCell ref="AW4:BD4"/>
    <mergeCell ref="BE4:BL4"/>
    <mergeCell ref="BM4:BT4"/>
    <mergeCell ref="BU4:CB4"/>
    <mergeCell ref="CC4:CJ4"/>
    <mergeCell ref="CK4:CR4"/>
    <mergeCell ref="AJ67:AK67"/>
    <mergeCell ref="AR67:AS67"/>
    <mergeCell ref="E4:E5"/>
    <mergeCell ref="A1:H1"/>
    <mergeCell ref="A2:H2"/>
    <mergeCell ref="I4:P4"/>
    <mergeCell ref="F4:F5"/>
    <mergeCell ref="H4:H5"/>
    <mergeCell ref="G4:G5"/>
    <mergeCell ref="Q4:X4"/>
  </mergeCells>
  <printOptions horizontalCentered="1"/>
  <pageMargins left="0.23622047244094499" right="0.23622047244094499" top="0.62992125984252001" bottom="0.23622047244094499" header="0.23622047244094499" footer="0.23622047244094499"/>
  <pageSetup paperSize="9" scale="23" fitToHeight="2" orientation="portrait" r:id="rId1"/>
  <colBreaks count="1" manualBreakCount="1">
    <brk id="32" max="77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17"/>
  <dimension ref="A1:R58"/>
  <sheetViews>
    <sheetView zoomScale="120" zoomScaleNormal="120" workbookViewId="0">
      <selection activeCell="Q8" sqref="Q8"/>
    </sheetView>
  </sheetViews>
  <sheetFormatPr defaultColWidth="9.42578125" defaultRowHeight="12.75"/>
  <cols>
    <col min="1" max="1" width="5.42578125" style="31" customWidth="1"/>
    <col min="2" max="2" width="34.42578125" style="3" customWidth="1"/>
    <col min="3" max="3" width="11.42578125" style="4" customWidth="1"/>
    <col min="4" max="4" width="12" style="4" customWidth="1"/>
    <col min="5" max="5" width="11.42578125" style="5" customWidth="1"/>
    <col min="6" max="7" width="11.42578125" style="4" hidden="1" customWidth="1"/>
    <col min="8" max="8" width="11.42578125" style="6" hidden="1" customWidth="1"/>
    <col min="9" max="9" width="11.42578125" style="5" customWidth="1"/>
    <col min="10" max="10" width="12.42578125" style="5" customWidth="1"/>
    <col min="11" max="12" width="10.42578125" style="5" customWidth="1"/>
    <col min="13" max="13" width="10.42578125" style="5" hidden="1" customWidth="1"/>
    <col min="14" max="14" width="13.42578125" style="5" hidden="1" customWidth="1"/>
    <col min="15" max="15" width="14.42578125" style="5" hidden="1" customWidth="1"/>
    <col min="16" max="16" width="16.42578125" style="5" hidden="1" customWidth="1"/>
    <col min="17" max="17" width="23" style="5" customWidth="1"/>
    <col min="18" max="18" width="11.42578125" style="3" bestFit="1" customWidth="1"/>
    <col min="19" max="16384" width="9.42578125" style="3"/>
  </cols>
  <sheetData>
    <row r="1" spans="1:18">
      <c r="A1" s="2"/>
      <c r="Q1" s="5" t="s">
        <v>138</v>
      </c>
    </row>
    <row r="2" spans="1:18">
      <c r="A2" s="708" t="s">
        <v>89</v>
      </c>
      <c r="B2" s="708"/>
      <c r="C2" s="708"/>
      <c r="D2" s="708"/>
      <c r="E2" s="708"/>
      <c r="F2" s="708"/>
      <c r="G2" s="708"/>
      <c r="H2" s="708"/>
      <c r="I2" s="708"/>
      <c r="J2" s="708"/>
      <c r="K2" s="708"/>
      <c r="L2" s="708"/>
      <c r="M2" s="708"/>
      <c r="N2" s="708"/>
      <c r="O2" s="708"/>
      <c r="P2" s="708"/>
      <c r="Q2" s="708"/>
    </row>
    <row r="3" spans="1:18">
      <c r="A3" s="708" t="s">
        <v>139</v>
      </c>
      <c r="B3" s="708"/>
      <c r="C3" s="708"/>
      <c r="D3" s="708"/>
      <c r="E3" s="708"/>
      <c r="F3" s="708"/>
      <c r="G3" s="708"/>
      <c r="H3" s="708"/>
      <c r="I3" s="708"/>
      <c r="J3" s="708"/>
      <c r="K3" s="708"/>
      <c r="L3" s="708"/>
      <c r="M3" s="708"/>
      <c r="N3" s="708"/>
      <c r="O3" s="708"/>
      <c r="P3" s="708"/>
      <c r="Q3" s="708"/>
    </row>
    <row r="4" spans="1:18">
      <c r="A4" s="9"/>
      <c r="B4" s="37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 t="s">
        <v>91</v>
      </c>
    </row>
    <row r="5" spans="1:18" s="4" customFormat="1" ht="25.5">
      <c r="A5" s="9" t="s">
        <v>67</v>
      </c>
      <c r="B5" s="9" t="s">
        <v>92</v>
      </c>
      <c r="C5" s="10" t="s">
        <v>48</v>
      </c>
      <c r="D5" s="10" t="s">
        <v>47</v>
      </c>
      <c r="E5" s="10" t="s">
        <v>46</v>
      </c>
      <c r="F5" s="10" t="s">
        <v>46</v>
      </c>
      <c r="G5" s="709" t="s">
        <v>33</v>
      </c>
      <c r="H5" s="709"/>
      <c r="I5" s="710" t="s">
        <v>146</v>
      </c>
      <c r="J5" s="38" t="s">
        <v>136</v>
      </c>
      <c r="K5" s="10" t="s">
        <v>69</v>
      </c>
      <c r="L5" s="10" t="s">
        <v>79</v>
      </c>
      <c r="M5" s="10" t="s">
        <v>79</v>
      </c>
      <c r="N5" s="10" t="s">
        <v>80</v>
      </c>
      <c r="O5" s="10" t="s">
        <v>81</v>
      </c>
      <c r="P5" s="10" t="s">
        <v>94</v>
      </c>
      <c r="Q5" s="1" t="s">
        <v>140</v>
      </c>
      <c r="R5" s="39"/>
    </row>
    <row r="6" spans="1:18" s="4" customFormat="1">
      <c r="A6" s="9"/>
      <c r="B6" s="9"/>
      <c r="C6" s="10" t="s">
        <v>44</v>
      </c>
      <c r="D6" s="10" t="s">
        <v>66</v>
      </c>
      <c r="E6" s="10" t="s">
        <v>43</v>
      </c>
      <c r="F6" s="10" t="s">
        <v>43</v>
      </c>
      <c r="G6" s="10" t="s">
        <v>42</v>
      </c>
      <c r="H6" s="10" t="s">
        <v>95</v>
      </c>
      <c r="I6" s="710"/>
      <c r="J6" s="38"/>
      <c r="K6" s="13" t="s">
        <v>42</v>
      </c>
      <c r="L6" s="13" t="s">
        <v>38</v>
      </c>
      <c r="M6" s="13" t="s">
        <v>64</v>
      </c>
      <c r="N6" s="13" t="s">
        <v>64</v>
      </c>
      <c r="O6" s="13" t="s">
        <v>64</v>
      </c>
      <c r="P6" s="13" t="s">
        <v>141</v>
      </c>
      <c r="Q6" s="1" t="s">
        <v>142</v>
      </c>
    </row>
    <row r="7" spans="1:18" s="4" customFormat="1">
      <c r="A7" s="9"/>
      <c r="B7" s="14"/>
      <c r="C7" s="10"/>
      <c r="D7" s="10"/>
      <c r="E7" s="10" t="s">
        <v>78</v>
      </c>
      <c r="F7" s="10" t="s">
        <v>143</v>
      </c>
      <c r="G7" s="10"/>
      <c r="H7" s="10" t="s">
        <v>68</v>
      </c>
      <c r="I7" s="710"/>
      <c r="J7" s="38"/>
      <c r="K7" s="10"/>
      <c r="L7" s="10"/>
      <c r="M7" s="10"/>
      <c r="N7" s="10"/>
      <c r="O7" s="10"/>
      <c r="P7" s="10"/>
      <c r="Q7" s="1" t="s">
        <v>148</v>
      </c>
    </row>
    <row r="8" spans="1:18" s="17" customFormat="1">
      <c r="A8" s="9">
        <v>1</v>
      </c>
      <c r="B8" s="15" t="s">
        <v>96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</row>
    <row r="9" spans="1:18" s="17" customFormat="1">
      <c r="A9" s="18">
        <v>1.1000000000000001</v>
      </c>
      <c r="B9" s="19" t="s">
        <v>144</v>
      </c>
      <c r="C9" s="20" t="e">
        <f>#REF!</f>
        <v>#REF!</v>
      </c>
      <c r="D9" s="20" t="e">
        <f>#REF!</f>
        <v>#REF!</v>
      </c>
      <c r="E9" s="20" t="e">
        <f>#REF!</f>
        <v>#REF!</v>
      </c>
      <c r="F9" s="20">
        <f>'[2]BSP (2)'!H26</f>
        <v>18646.087630649035</v>
      </c>
      <c r="G9" s="20">
        <f>'[2]BSP (2)'!I26</f>
        <v>1336.1</v>
      </c>
      <c r="H9" s="20">
        <f>'[2]BSP (2)'!J26</f>
        <v>1830.0853</v>
      </c>
      <c r="I9" s="20" t="e">
        <f>D9-E9</f>
        <v>#REF!</v>
      </c>
      <c r="J9" s="20" t="e">
        <f>#REF!</f>
        <v>#REF!</v>
      </c>
      <c r="K9" s="20" t="e">
        <f>#REF!</f>
        <v>#REF!</v>
      </c>
      <c r="L9" s="20" t="e">
        <f>#REF!</f>
        <v>#REF!</v>
      </c>
      <c r="M9" s="20"/>
      <c r="N9" s="20"/>
      <c r="O9" s="20"/>
      <c r="P9" s="20" t="e">
        <f>I9-(K9+L9)</f>
        <v>#REF!</v>
      </c>
      <c r="Q9" s="20" t="e">
        <f>I9-(K9+L9)</f>
        <v>#REF!</v>
      </c>
      <c r="R9" s="40"/>
    </row>
    <row r="10" spans="1:18" s="17" customFormat="1">
      <c r="A10" s="9">
        <v>2</v>
      </c>
      <c r="B10" s="15" t="s">
        <v>100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8" s="17" customFormat="1">
      <c r="A11" s="18">
        <v>2.1</v>
      </c>
      <c r="B11" s="19" t="s">
        <v>144</v>
      </c>
      <c r="C11" s="20" t="e">
        <f>#REF!</f>
        <v>#REF!</v>
      </c>
      <c r="D11" s="20" t="e">
        <f>#REF!</f>
        <v>#REF!</v>
      </c>
      <c r="E11" s="20" t="e">
        <f>#REF!</f>
        <v>#REF!</v>
      </c>
      <c r="F11" s="20">
        <f>'[2]DSP (2)'!G18</f>
        <v>103.44</v>
      </c>
      <c r="G11" s="20">
        <f>'[2]DSP (2)'!I18</f>
        <v>30</v>
      </c>
      <c r="H11" s="20">
        <f>'[2]DSP (2)'!J18</f>
        <v>79.169999999999987</v>
      </c>
      <c r="I11" s="20" t="e">
        <f>D11-E11</f>
        <v>#REF!</v>
      </c>
      <c r="J11" s="20" t="e">
        <f>#REF!</f>
        <v>#REF!</v>
      </c>
      <c r="K11" s="20" t="e">
        <f>#REF!</f>
        <v>#REF!</v>
      </c>
      <c r="L11" s="20" t="e">
        <f>#REF!</f>
        <v>#REF!</v>
      </c>
      <c r="M11" s="20"/>
      <c r="N11" s="20"/>
      <c r="O11" s="20"/>
      <c r="P11" s="20" t="e">
        <f>I11-(K11+L11)</f>
        <v>#REF!</v>
      </c>
      <c r="Q11" s="20" t="e">
        <f>I11-(K11+L11)</f>
        <v>#REF!</v>
      </c>
    </row>
    <row r="12" spans="1:18" s="17" customFormat="1">
      <c r="A12" s="9">
        <v>3</v>
      </c>
      <c r="B12" s="15" t="s">
        <v>102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</row>
    <row r="13" spans="1:18" s="17" customFormat="1">
      <c r="A13" s="18">
        <v>3.1</v>
      </c>
      <c r="B13" s="19" t="s">
        <v>144</v>
      </c>
      <c r="C13" s="20" t="e">
        <f>#REF!</f>
        <v>#REF!</v>
      </c>
      <c r="D13" s="20" t="e">
        <f>#REF!</f>
        <v>#REF!</v>
      </c>
      <c r="E13" s="20" t="e">
        <f>#REF!</f>
        <v>#REF!</v>
      </c>
      <c r="F13" s="20">
        <f>'[2]RSP- revised '!G20</f>
        <v>1566.7400000000002</v>
      </c>
      <c r="G13" s="20">
        <f>'[2]RSP- revised '!I20</f>
        <v>458.5</v>
      </c>
      <c r="H13" s="20">
        <f>'[2]RSP- revised '!J20</f>
        <v>673.94</v>
      </c>
      <c r="I13" s="20" t="e">
        <f>D13-E13</f>
        <v>#REF!</v>
      </c>
      <c r="J13" s="20" t="e">
        <f>#REF!</f>
        <v>#REF!</v>
      </c>
      <c r="K13" s="20" t="e">
        <f>#REF!</f>
        <v>#REF!</v>
      </c>
      <c r="L13" s="20" t="e">
        <f>#REF!</f>
        <v>#REF!</v>
      </c>
      <c r="M13" s="20"/>
      <c r="N13" s="20"/>
      <c r="O13" s="20"/>
      <c r="P13" s="20" t="e">
        <f>I13-(K13+L13)</f>
        <v>#REF!</v>
      </c>
      <c r="Q13" s="20" t="e">
        <f>I13-(K13+L13)</f>
        <v>#REF!</v>
      </c>
    </row>
    <row r="14" spans="1:18" s="17" customFormat="1">
      <c r="A14" s="9">
        <v>4</v>
      </c>
      <c r="B14" s="15" t="s">
        <v>104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0"/>
    </row>
    <row r="15" spans="1:18" s="17" customFormat="1">
      <c r="A15" s="18">
        <v>4.0999999999999996</v>
      </c>
      <c r="B15" s="19" t="s">
        <v>144</v>
      </c>
      <c r="C15" s="20" t="e">
        <f>#REF!</f>
        <v>#REF!</v>
      </c>
      <c r="D15" s="20" t="e">
        <f>#REF!</f>
        <v>#REF!</v>
      </c>
      <c r="E15" s="20" t="e">
        <f>#REF!</f>
        <v>#REF!</v>
      </c>
      <c r="F15" s="20">
        <f>'[2]BSL (2)'!G34</f>
        <v>1027.72</v>
      </c>
      <c r="G15" s="20">
        <f>+'[2]BSL (2)'!I34</f>
        <v>299.77</v>
      </c>
      <c r="H15" s="20">
        <f>'[2]BSL (2)'!J34</f>
        <v>522.42000000000007</v>
      </c>
      <c r="I15" s="20" t="e">
        <f>D15-E15</f>
        <v>#REF!</v>
      </c>
      <c r="J15" s="20" t="e">
        <f>#REF!</f>
        <v>#REF!</v>
      </c>
      <c r="K15" s="20" t="e">
        <f>#REF!</f>
        <v>#REF!</v>
      </c>
      <c r="L15" s="20" t="e">
        <f>#REF!</f>
        <v>#REF!</v>
      </c>
      <c r="M15" s="20"/>
      <c r="N15" s="20"/>
      <c r="O15" s="20"/>
      <c r="P15" s="20" t="e">
        <f>I15-(K15+L15)</f>
        <v>#REF!</v>
      </c>
      <c r="Q15" s="20" t="e">
        <f>I15-(K15+L15)</f>
        <v>#REF!</v>
      </c>
    </row>
    <row r="16" spans="1:18" s="17" customFormat="1">
      <c r="A16" s="9">
        <v>5</v>
      </c>
      <c r="B16" s="15" t="s">
        <v>106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</row>
    <row r="17" spans="1:17" s="24" customFormat="1">
      <c r="A17" s="18">
        <v>5.0999999999999996</v>
      </c>
      <c r="B17" s="19" t="s">
        <v>144</v>
      </c>
      <c r="C17" s="23" t="e">
        <f>#REF!</f>
        <v>#REF!</v>
      </c>
      <c r="D17" s="23" t="e">
        <f>#REF!</f>
        <v>#REF!</v>
      </c>
      <c r="E17" s="23" t="e">
        <f>#REF!</f>
        <v>#REF!</v>
      </c>
      <c r="F17" s="23">
        <f>'[2]ISP (2)'!G18</f>
        <v>6.19</v>
      </c>
      <c r="G17" s="23">
        <f>'[2]ISP (2)'!I18</f>
        <v>10</v>
      </c>
      <c r="H17" s="23">
        <f>'[2]ISP (2)'!J18</f>
        <v>19.239999999999998</v>
      </c>
      <c r="I17" s="20" t="e">
        <f>D17-E17</f>
        <v>#REF!</v>
      </c>
      <c r="J17" s="20" t="e">
        <f>#REF!</f>
        <v>#REF!</v>
      </c>
      <c r="K17" s="23" t="e">
        <f>#REF!</f>
        <v>#REF!</v>
      </c>
      <c r="L17" s="23" t="e">
        <f>#REF!</f>
        <v>#REF!</v>
      </c>
      <c r="M17" s="23"/>
      <c r="N17" s="23"/>
      <c r="O17" s="23"/>
      <c r="P17" s="20" t="e">
        <f>I17-(K17+L17)</f>
        <v>#REF!</v>
      </c>
      <c r="Q17" s="20" t="e">
        <f>I17-(K17+L17)</f>
        <v>#REF!</v>
      </c>
    </row>
    <row r="18" spans="1:17" s="17" customFormat="1">
      <c r="A18" s="9">
        <v>6</v>
      </c>
      <c r="B18" s="15" t="s">
        <v>131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</row>
    <row r="19" spans="1:17">
      <c r="A19" s="18">
        <v>6.1</v>
      </c>
      <c r="B19" s="19" t="s">
        <v>144</v>
      </c>
      <c r="C19" s="23" t="e">
        <f>#REF!</f>
        <v>#REF!</v>
      </c>
      <c r="D19" s="23" t="e">
        <f>#REF!</f>
        <v>#REF!</v>
      </c>
      <c r="E19" s="23" t="e">
        <f>#REF!</f>
        <v>#REF!</v>
      </c>
      <c r="F19" s="23">
        <f>'[2]SSP Revised (2)'!H17</f>
        <v>5.92</v>
      </c>
      <c r="G19" s="23">
        <f>'[2]SSP Revised (2)'!J17</f>
        <v>6</v>
      </c>
      <c r="H19" s="23">
        <f>'[2]SSP Revised (2)'!K17</f>
        <v>7.14</v>
      </c>
      <c r="I19" s="20" t="e">
        <f>D19-E19</f>
        <v>#REF!</v>
      </c>
      <c r="J19" s="20" t="e">
        <f>#REF!</f>
        <v>#REF!</v>
      </c>
      <c r="K19" s="23" t="e">
        <f>#REF!</f>
        <v>#REF!</v>
      </c>
      <c r="L19" s="23" t="e">
        <f>#REF!</f>
        <v>#REF!</v>
      </c>
      <c r="M19" s="23"/>
      <c r="N19" s="23"/>
      <c r="O19" s="23"/>
      <c r="P19" s="20" t="e">
        <f>I19-(K19+L19)</f>
        <v>#REF!</v>
      </c>
      <c r="Q19" s="20" t="e">
        <f>I19-(K19+L19)</f>
        <v>#REF!</v>
      </c>
    </row>
    <row r="20" spans="1:17">
      <c r="A20" s="41"/>
      <c r="B20" s="42" t="s">
        <v>145</v>
      </c>
      <c r="C20" s="43" t="e">
        <f>+C9+C11+C13+C15+C17+C19</f>
        <v>#REF!</v>
      </c>
      <c r="D20" s="43" t="e">
        <f>+D9+D11+D13+D15+D17+D19</f>
        <v>#REF!</v>
      </c>
      <c r="E20" s="43" t="e">
        <f>#N/A</f>
        <v>#N/A</v>
      </c>
      <c r="F20" s="43" t="e">
        <f>#N/A</f>
        <v>#N/A</v>
      </c>
      <c r="G20" s="43" t="e">
        <f>#N/A</f>
        <v>#N/A</v>
      </c>
      <c r="H20" s="43" t="e">
        <f>#N/A</f>
        <v>#N/A</v>
      </c>
      <c r="I20" s="43" t="e">
        <f>#N/A</f>
        <v>#N/A</v>
      </c>
      <c r="J20" s="43" t="e">
        <f>#N/A</f>
        <v>#N/A</v>
      </c>
      <c r="K20" s="43" t="e">
        <f>#N/A</f>
        <v>#N/A</v>
      </c>
      <c r="L20" s="43" t="e">
        <f>#N/A</f>
        <v>#N/A</v>
      </c>
      <c r="M20" s="43" t="e">
        <f>#N/A</f>
        <v>#N/A</v>
      </c>
      <c r="N20" s="43" t="e">
        <f>#N/A</f>
        <v>#N/A</v>
      </c>
      <c r="O20" s="43" t="e">
        <f>#N/A</f>
        <v>#N/A</v>
      </c>
      <c r="P20" s="43" t="e">
        <f>#N/A</f>
        <v>#N/A</v>
      </c>
      <c r="Q20" s="43" t="e">
        <f>#N/A</f>
        <v>#N/A</v>
      </c>
    </row>
    <row r="21" spans="1:17">
      <c r="A21"/>
      <c r="B21"/>
      <c r="C21"/>
      <c r="D21"/>
    </row>
    <row r="22" spans="1:17">
      <c r="A22"/>
      <c r="B22"/>
      <c r="C22"/>
      <c r="D22"/>
    </row>
    <row r="23" spans="1:17">
      <c r="A23"/>
      <c r="B23"/>
      <c r="C23"/>
      <c r="D23"/>
    </row>
    <row r="24" spans="1:17">
      <c r="A24"/>
      <c r="B24"/>
      <c r="C24"/>
      <c r="D24"/>
    </row>
    <row r="54" spans="12:18" s="3" customFormat="1">
      <c r="L54" s="32" t="e">
        <f>#N/A</f>
        <v>#N/A</v>
      </c>
      <c r="M54" s="32" t="e">
        <f>#N/A</f>
        <v>#N/A</v>
      </c>
      <c r="N54" s="32" t="e">
        <f>#N/A</f>
        <v>#N/A</v>
      </c>
      <c r="O54" s="32" t="e">
        <f>#N/A</f>
        <v>#N/A</v>
      </c>
      <c r="P54" s="32" t="e">
        <f>#N/A</f>
        <v>#N/A</v>
      </c>
      <c r="Q54" s="32" t="e">
        <f>#N/A</f>
        <v>#N/A</v>
      </c>
      <c r="R54" s="44" t="e">
        <f>J54-Q54</f>
        <v>#N/A</v>
      </c>
    </row>
    <row r="58" spans="12:18" s="3" customFormat="1">
      <c r="L58" s="5" t="e">
        <f>SUM(L54:L57)</f>
        <v>#N/A</v>
      </c>
      <c r="M58" s="5"/>
      <c r="N58" s="5"/>
      <c r="O58" s="5"/>
      <c r="P58" s="5"/>
      <c r="Q58" s="5"/>
    </row>
  </sheetData>
  <mergeCells count="4">
    <mergeCell ref="A2:Q2"/>
    <mergeCell ref="A3:Q3"/>
    <mergeCell ref="G5:H5"/>
    <mergeCell ref="I5:I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18"/>
  <dimension ref="B2:P76"/>
  <sheetViews>
    <sheetView zoomScale="80" zoomScaleNormal="80" workbookViewId="0">
      <pane xSplit="3" ySplit="4" topLeftCell="D43" activePane="bottomRight" state="frozen"/>
      <selection pane="topRight" activeCell="D1" sqref="D1"/>
      <selection pane="bottomLeft" activeCell="A5" sqref="A5"/>
      <selection pane="bottomRight" activeCell="K70" sqref="K70"/>
    </sheetView>
  </sheetViews>
  <sheetFormatPr defaultColWidth="8.85546875" defaultRowHeight="12.75"/>
  <cols>
    <col min="3" max="3" width="28" bestFit="1" customWidth="1"/>
    <col min="4" max="4" width="16.42578125" customWidth="1"/>
    <col min="5" max="5" width="16" customWidth="1"/>
    <col min="6" max="7" width="9.42578125" customWidth="1"/>
    <col min="9" max="11" width="12.42578125" customWidth="1"/>
    <col min="13" max="13" width="14.42578125" customWidth="1"/>
    <col min="14" max="14" width="12.42578125" customWidth="1"/>
    <col min="15" max="15" width="13.42578125" customWidth="1"/>
  </cols>
  <sheetData>
    <row r="2" spans="2:12">
      <c r="C2" s="84" t="s">
        <v>424</v>
      </c>
    </row>
    <row r="3" spans="2:12">
      <c r="C3" s="70" t="e">
        <f>+#REF!</f>
        <v>#REF!</v>
      </c>
      <c r="D3" s="70" t="s">
        <v>401</v>
      </c>
      <c r="E3" s="70" t="s">
        <v>422</v>
      </c>
      <c r="F3" s="711" t="s">
        <v>80</v>
      </c>
      <c r="G3" s="711"/>
      <c r="H3" s="70" t="s">
        <v>81</v>
      </c>
      <c r="I3" s="79" t="s">
        <v>423</v>
      </c>
      <c r="J3" s="59" t="s">
        <v>428</v>
      </c>
    </row>
    <row r="4" spans="2:12">
      <c r="B4" s="69" t="s">
        <v>29</v>
      </c>
      <c r="C4" s="71"/>
      <c r="D4" s="71"/>
      <c r="E4" s="72">
        <v>43921</v>
      </c>
      <c r="F4" s="73" t="s">
        <v>38</v>
      </c>
      <c r="G4" s="73" t="s">
        <v>42</v>
      </c>
      <c r="H4" s="73" t="s">
        <v>38</v>
      </c>
      <c r="I4" s="98" t="s">
        <v>456</v>
      </c>
      <c r="J4" s="71"/>
    </row>
    <row r="5" spans="2:12">
      <c r="C5" s="62" t="s">
        <v>30</v>
      </c>
      <c r="D5" s="74">
        <f>2278.3-1011.09</f>
        <v>1267.21</v>
      </c>
      <c r="E5" s="74">
        <v>1170.27</v>
      </c>
      <c r="F5" s="74">
        <v>46.6</v>
      </c>
      <c r="G5" s="74">
        <v>64.08</v>
      </c>
      <c r="H5" s="74">
        <v>32.65</v>
      </c>
      <c r="I5" s="97">
        <v>6.11</v>
      </c>
      <c r="J5" s="74">
        <f>+D5-E5-G5-H5</f>
        <v>0.2100000000000577</v>
      </c>
    </row>
    <row r="6" spans="2:12">
      <c r="C6" s="62" t="s">
        <v>27</v>
      </c>
      <c r="D6" s="74">
        <v>4301.45</v>
      </c>
      <c r="E6" s="74">
        <v>3960.12</v>
      </c>
      <c r="F6" s="74">
        <v>90.84</v>
      </c>
      <c r="G6" s="74">
        <v>196.2</v>
      </c>
      <c r="H6" s="74">
        <v>121.57</v>
      </c>
      <c r="I6" s="97">
        <v>69.209999999999994</v>
      </c>
      <c r="J6" s="74" t="e">
        <f>#N/A</f>
        <v>#N/A</v>
      </c>
    </row>
    <row r="7" spans="2:12">
      <c r="C7" s="62" t="s">
        <v>25</v>
      </c>
      <c r="D7" s="74">
        <f>5341.26+10.54</f>
        <v>5351.8</v>
      </c>
      <c r="E7" s="74">
        <v>4871</v>
      </c>
      <c r="F7" s="74">
        <v>203.73</v>
      </c>
      <c r="G7" s="74">
        <v>268.37</v>
      </c>
      <c r="H7" s="74">
        <v>212.43</v>
      </c>
      <c r="I7" s="80">
        <v>104.17</v>
      </c>
      <c r="J7" s="74" t="e">
        <f>#N/A</f>
        <v>#N/A</v>
      </c>
      <c r="L7" s="76" t="s">
        <v>29</v>
      </c>
    </row>
    <row r="8" spans="2:12">
      <c r="C8" s="62" t="s">
        <v>23</v>
      </c>
      <c r="D8" s="74">
        <v>944.8</v>
      </c>
      <c r="E8" s="74">
        <v>842.49</v>
      </c>
      <c r="F8" s="74">
        <v>27.06</v>
      </c>
      <c r="G8" s="74">
        <v>50.46</v>
      </c>
      <c r="H8" s="74">
        <v>35.619999999999997</v>
      </c>
      <c r="I8" s="80">
        <v>4.4400000000000004</v>
      </c>
      <c r="J8" s="74" t="e">
        <f>#N/A</f>
        <v>#N/A</v>
      </c>
    </row>
    <row r="9" spans="2:12">
      <c r="C9" s="62" t="s">
        <v>22</v>
      </c>
      <c r="D9" s="74">
        <f>2733.16+101.42</f>
        <v>2834.58</v>
      </c>
      <c r="E9" s="74">
        <v>2627.78</v>
      </c>
      <c r="F9" s="74">
        <v>81.25</v>
      </c>
      <c r="G9" s="74">
        <v>115.72</v>
      </c>
      <c r="H9" s="74">
        <v>91.08</v>
      </c>
      <c r="I9" s="80">
        <v>30.75</v>
      </c>
      <c r="J9" s="74" t="e">
        <f>#N/A</f>
        <v>#N/A</v>
      </c>
    </row>
    <row r="10" spans="2:12">
      <c r="C10" s="62" t="s">
        <v>425</v>
      </c>
      <c r="D10" s="74"/>
      <c r="E10" s="74"/>
      <c r="F10" s="74"/>
      <c r="G10" s="74"/>
      <c r="H10" s="74"/>
      <c r="I10" s="80"/>
      <c r="J10" s="74" t="e">
        <f>#N/A</f>
        <v>#N/A</v>
      </c>
    </row>
    <row r="11" spans="2:12">
      <c r="C11" s="62" t="s">
        <v>426</v>
      </c>
      <c r="D11" s="74">
        <f>6298.95+899.13</f>
        <v>7198.08</v>
      </c>
      <c r="E11" s="74">
        <v>6764.1032827498129</v>
      </c>
      <c r="F11" s="74">
        <v>240.52393927747909</v>
      </c>
      <c r="G11" s="74">
        <v>215.23192854511626</v>
      </c>
      <c r="H11" s="74">
        <v>218.74559905469999</v>
      </c>
      <c r="I11" s="97">
        <f>152.75-5.81</f>
        <v>146.94</v>
      </c>
      <c r="J11" s="74" t="e">
        <f>#N/A</f>
        <v>#N/A</v>
      </c>
    </row>
    <row r="12" spans="2:12">
      <c r="C12" s="61" t="s">
        <v>125</v>
      </c>
      <c r="D12" s="75">
        <v>21897.919999999998</v>
      </c>
      <c r="E12" s="75">
        <v>20235.763282749813</v>
      </c>
      <c r="F12" s="75">
        <v>690.00393927747905</v>
      </c>
      <c r="G12" s="75">
        <v>910.0619285451163</v>
      </c>
      <c r="H12" s="75">
        <v>712.09559905469996</v>
      </c>
      <c r="I12" s="99">
        <v>361.62</v>
      </c>
      <c r="J12" s="74" t="e">
        <f>#N/A</f>
        <v>#N/A</v>
      </c>
    </row>
    <row r="13" spans="2:12">
      <c r="C13" s="85" t="s">
        <v>427</v>
      </c>
      <c r="J13" s="71"/>
    </row>
    <row r="14" spans="2:12">
      <c r="C14" s="62" t="e">
        <f>+#REF!</f>
        <v>#REF!</v>
      </c>
      <c r="D14" s="74">
        <f>1129.8+250.48</f>
        <v>1380.28</v>
      </c>
      <c r="E14" s="74">
        <v>1314.5827946439999</v>
      </c>
      <c r="F14" s="74">
        <v>44.139362490733873</v>
      </c>
      <c r="G14" s="74">
        <v>5.7</v>
      </c>
      <c r="H14" s="74">
        <v>60</v>
      </c>
      <c r="I14" s="80">
        <v>0.1</v>
      </c>
      <c r="J14" s="74" t="e">
        <f>#N/A</f>
        <v>#N/A</v>
      </c>
    </row>
    <row r="15" spans="2:12">
      <c r="C15" s="62" t="s">
        <v>405</v>
      </c>
      <c r="D15" s="74">
        <f>459.4+102.36</f>
        <v>561.76</v>
      </c>
      <c r="E15" s="74">
        <v>505.66</v>
      </c>
      <c r="F15" s="74">
        <v>2.3217197924388433</v>
      </c>
      <c r="G15" s="74">
        <v>6.1</v>
      </c>
      <c r="H15" s="74">
        <v>50</v>
      </c>
      <c r="I15" s="80">
        <v>0.17</v>
      </c>
      <c r="J15" s="74" t="e">
        <f>#N/A</f>
        <v>#N/A</v>
      </c>
    </row>
    <row r="16" spans="2:12">
      <c r="C16" s="62" t="s">
        <v>404</v>
      </c>
      <c r="D16" s="74">
        <f>216.91+25.99+22.57</f>
        <v>265.47000000000003</v>
      </c>
      <c r="E16" s="74">
        <v>228.04120209600001</v>
      </c>
      <c r="F16" s="66">
        <v>5.2305411415863601</v>
      </c>
      <c r="G16" s="67">
        <v>7.43</v>
      </c>
      <c r="H16" s="67">
        <v>30</v>
      </c>
      <c r="I16" s="78">
        <v>0</v>
      </c>
      <c r="J16" s="74" t="e">
        <f>#N/A</f>
        <v>#N/A</v>
      </c>
    </row>
    <row r="17" spans="3:16">
      <c r="C17" s="62" t="s">
        <v>403</v>
      </c>
      <c r="D17" s="74">
        <f>207.37+47.44</f>
        <v>254.81</v>
      </c>
      <c r="E17" s="74">
        <v>251.4</v>
      </c>
      <c r="F17" s="66">
        <v>1.2898443291326909</v>
      </c>
      <c r="G17" s="67">
        <v>1.7071550680000001</v>
      </c>
      <c r="H17" s="67">
        <v>1.7071550680000001</v>
      </c>
      <c r="I17" s="82">
        <v>0.39</v>
      </c>
      <c r="J17" s="74" t="e">
        <f>#N/A</f>
        <v>#N/A</v>
      </c>
    </row>
    <row r="18" spans="3:16" ht="24">
      <c r="C18" s="77" t="s">
        <v>402</v>
      </c>
      <c r="D18" s="66">
        <f>161.61+58.2</f>
        <v>219.81</v>
      </c>
      <c r="E18" s="65">
        <v>216.51</v>
      </c>
      <c r="F18" s="67">
        <v>0</v>
      </c>
      <c r="G18" s="67">
        <v>1.3</v>
      </c>
      <c r="H18" s="64">
        <v>2</v>
      </c>
      <c r="I18" s="82">
        <v>0</v>
      </c>
      <c r="J18" s="74" t="e">
        <f>#N/A</f>
        <v>#N/A</v>
      </c>
    </row>
    <row r="19" spans="3:16" ht="36">
      <c r="C19" s="77" t="s">
        <v>429</v>
      </c>
      <c r="D19" s="66">
        <f>1191.03-507.04</f>
        <v>683.99</v>
      </c>
      <c r="E19" s="66">
        <v>637.9160032599998</v>
      </c>
      <c r="F19" s="66">
        <v>7.0185322461082364</v>
      </c>
      <c r="G19" s="66">
        <v>6.7628449320000001</v>
      </c>
      <c r="H19" s="66">
        <v>39.302844932000028</v>
      </c>
      <c r="I19" s="83">
        <v>1.3699999999999997</v>
      </c>
      <c r="J19" s="74" t="e">
        <f>#N/A</f>
        <v>#N/A</v>
      </c>
    </row>
    <row r="20" spans="3:16">
      <c r="C20" s="61" t="s">
        <v>125</v>
      </c>
      <c r="D20" s="61">
        <v>3366.12</v>
      </c>
      <c r="E20" s="75">
        <v>3154.11</v>
      </c>
      <c r="F20" s="75">
        <v>60</v>
      </c>
      <c r="G20" s="75">
        <f>28.21+0.79</f>
        <v>29</v>
      </c>
      <c r="H20" s="75">
        <f>183.8-0.79</f>
        <v>183.01000000000002</v>
      </c>
      <c r="I20" s="81">
        <v>2.0299999999999998</v>
      </c>
      <c r="J20" s="75" t="e">
        <f>#N/A</f>
        <v>#N/A</v>
      </c>
      <c r="P20">
        <f>-3.63+0.84</f>
        <v>-2.79</v>
      </c>
    </row>
    <row r="21" spans="3:16">
      <c r="C21" s="85" t="s">
        <v>430</v>
      </c>
      <c r="J21" s="71"/>
    </row>
    <row r="22" spans="3:16">
      <c r="C22" s="77" t="s">
        <v>400</v>
      </c>
      <c r="D22" s="74">
        <v>759.15000000000009</v>
      </c>
      <c r="E22" s="74">
        <v>686.68</v>
      </c>
      <c r="F22" s="74">
        <v>18</v>
      </c>
      <c r="G22" s="74">
        <v>40</v>
      </c>
      <c r="H22" s="74">
        <v>32.470000000000141</v>
      </c>
      <c r="I22" s="80">
        <v>30.15</v>
      </c>
      <c r="J22" s="74">
        <v>0</v>
      </c>
    </row>
    <row r="23" spans="3:16">
      <c r="C23" s="77" t="s">
        <v>431</v>
      </c>
      <c r="D23" s="74">
        <v>1262.3599999999999</v>
      </c>
      <c r="E23" s="74">
        <v>1188.47</v>
      </c>
      <c r="F23" s="74">
        <v>27.17</v>
      </c>
      <c r="G23" s="74">
        <v>53.870000000000005</v>
      </c>
      <c r="H23" s="74">
        <v>20.019999999999914</v>
      </c>
      <c r="I23" s="80">
        <v>17.77</v>
      </c>
      <c r="J23" s="74">
        <v>-4.6185277824406512E-14</v>
      </c>
    </row>
    <row r="24" spans="3:16">
      <c r="C24" s="77" t="e">
        <f>#REF!</f>
        <v>#REF!</v>
      </c>
      <c r="D24" s="74">
        <v>801.35</v>
      </c>
      <c r="E24" s="74">
        <v>794.78</v>
      </c>
      <c r="F24" s="63">
        <v>0</v>
      </c>
      <c r="G24" s="67">
        <v>3.33</v>
      </c>
      <c r="H24" s="67">
        <v>3.24</v>
      </c>
      <c r="I24" s="63">
        <v>0</v>
      </c>
      <c r="J24" s="74">
        <v>4.9737991503207013E-14</v>
      </c>
    </row>
    <row r="25" spans="3:16">
      <c r="C25" s="77" t="s">
        <v>432</v>
      </c>
      <c r="D25" s="74">
        <v>2815.62</v>
      </c>
      <c r="E25" s="74">
        <v>2521.4299999999998</v>
      </c>
      <c r="F25" s="66">
        <v>97.55</v>
      </c>
      <c r="G25" s="67">
        <v>107.98</v>
      </c>
      <c r="H25" s="67">
        <v>186.20999999999989</v>
      </c>
      <c r="I25" s="82">
        <v>25.38</v>
      </c>
      <c r="J25" s="74">
        <v>0</v>
      </c>
    </row>
    <row r="26" spans="3:16">
      <c r="C26" s="77" t="s">
        <v>433</v>
      </c>
      <c r="D26" s="66">
        <v>1410.7400000000002</v>
      </c>
      <c r="E26" s="65">
        <v>1308.52</v>
      </c>
      <c r="F26" s="67">
        <v>73.910000000000011</v>
      </c>
      <c r="G26" s="67">
        <v>56.88</v>
      </c>
      <c r="H26" s="64">
        <v>45.340000000000046</v>
      </c>
      <c r="I26" s="82">
        <v>26.1</v>
      </c>
      <c r="J26" s="74">
        <v>2.0605739337042905E-13</v>
      </c>
    </row>
    <row r="27" spans="3:16">
      <c r="C27" s="77" t="s">
        <v>434</v>
      </c>
      <c r="D27" s="66">
        <v>2566.17</v>
      </c>
      <c r="E27" s="66">
        <v>2387.7600000000002</v>
      </c>
      <c r="F27" s="66">
        <v>49.12</v>
      </c>
      <c r="G27" s="66">
        <v>85.99</v>
      </c>
      <c r="H27" s="66">
        <v>67.790000000000148</v>
      </c>
      <c r="I27" s="83">
        <v>29.360000000000003</v>
      </c>
      <c r="J27" s="74">
        <v>24.629999999999711</v>
      </c>
    </row>
    <row r="28" spans="3:16">
      <c r="C28" s="77" t="s">
        <v>435</v>
      </c>
      <c r="D28" s="66">
        <v>4624.6100000000006</v>
      </c>
      <c r="E28" s="66">
        <v>4178.1100000000006</v>
      </c>
      <c r="F28" s="66">
        <v>174.24999999999983</v>
      </c>
      <c r="G28" s="66">
        <v>99.529999999999816</v>
      </c>
      <c r="H28" s="66">
        <v>74.340000000000131</v>
      </c>
      <c r="I28" s="66">
        <v>70.559999999999988</v>
      </c>
      <c r="J28" s="74">
        <v>272.63000000000005</v>
      </c>
    </row>
    <row r="29" spans="3:16">
      <c r="C29" s="61" t="s">
        <v>125</v>
      </c>
      <c r="D29" s="61">
        <v>14240</v>
      </c>
      <c r="E29" s="75">
        <v>13065.750000000002</v>
      </c>
      <c r="F29" s="75">
        <v>439.99999999999989</v>
      </c>
      <c r="G29" s="75">
        <v>447.57999999999981</v>
      </c>
      <c r="H29" s="75">
        <v>429.41000000000031</v>
      </c>
      <c r="I29" s="81">
        <v>199.32</v>
      </c>
      <c r="J29" s="75">
        <v>297.25999999999806</v>
      </c>
    </row>
    <row r="30" spans="3:16">
      <c r="C30" s="85" t="s">
        <v>436</v>
      </c>
      <c r="J30" s="71"/>
    </row>
    <row r="31" spans="3:16">
      <c r="C31" s="77" t="s">
        <v>417</v>
      </c>
      <c r="D31" s="74">
        <v>3419.79</v>
      </c>
      <c r="E31" s="74">
        <v>3072.24</v>
      </c>
      <c r="F31" s="67">
        <v>0</v>
      </c>
      <c r="G31" s="74">
        <v>11.901999999999999</v>
      </c>
      <c r="H31" s="74">
        <v>297.04410000000001</v>
      </c>
      <c r="I31" s="68">
        <v>11.9</v>
      </c>
      <c r="J31" s="74">
        <v>38.603900000000181</v>
      </c>
    </row>
    <row r="32" spans="3:16">
      <c r="C32" s="77" t="s">
        <v>418</v>
      </c>
      <c r="D32" s="74">
        <v>827.03129999999999</v>
      </c>
      <c r="E32" s="74">
        <v>645.32000000000005</v>
      </c>
      <c r="F32" s="67">
        <v>0</v>
      </c>
      <c r="G32" s="74">
        <v>3.73</v>
      </c>
      <c r="H32" s="74">
        <v>136.28</v>
      </c>
      <c r="I32" s="80">
        <v>3.73</v>
      </c>
      <c r="J32" s="74">
        <v>41.701299999999947</v>
      </c>
    </row>
    <row r="33" spans="3:10" ht="24">
      <c r="C33" s="77" t="s">
        <v>419</v>
      </c>
      <c r="D33" s="68">
        <v>211.91200000000001</v>
      </c>
      <c r="E33" s="68">
        <v>198.88</v>
      </c>
      <c r="F33" s="67">
        <v>0</v>
      </c>
      <c r="G33" s="68">
        <v>0</v>
      </c>
      <c r="H33" s="68">
        <v>4.5999999999999996</v>
      </c>
      <c r="I33" s="63"/>
      <c r="J33" s="68">
        <v>8.432000000000011</v>
      </c>
    </row>
    <row r="34" spans="3:10">
      <c r="C34" s="77" t="s">
        <v>420</v>
      </c>
      <c r="D34" s="74">
        <v>383.12200000000001</v>
      </c>
      <c r="E34" s="74">
        <v>330.61</v>
      </c>
      <c r="F34" s="67">
        <v>0</v>
      </c>
      <c r="G34" s="67">
        <v>7.72</v>
      </c>
      <c r="H34" s="68">
        <v>23.57</v>
      </c>
      <c r="I34" s="82">
        <v>6.15</v>
      </c>
      <c r="J34" s="74">
        <v>21.222000000000001</v>
      </c>
    </row>
    <row r="35" spans="3:10">
      <c r="C35" s="77" t="s">
        <v>421</v>
      </c>
      <c r="D35" s="66">
        <v>884.64179999999999</v>
      </c>
      <c r="E35" s="65">
        <v>841.16</v>
      </c>
      <c r="F35" s="67">
        <v>0</v>
      </c>
      <c r="G35" s="67">
        <v>5.83</v>
      </c>
      <c r="H35" s="64">
        <v>0</v>
      </c>
      <c r="I35" s="82">
        <v>5.83</v>
      </c>
      <c r="J35" s="74">
        <v>37.651800000000023</v>
      </c>
    </row>
    <row r="36" spans="3:10" ht="24">
      <c r="C36" s="77" t="s">
        <v>438</v>
      </c>
      <c r="D36" s="66">
        <v>2211.5028999999995</v>
      </c>
      <c r="E36" s="66">
        <v>1936.4499999999998</v>
      </c>
      <c r="F36" s="67">
        <v>0</v>
      </c>
      <c r="G36" s="66">
        <v>234.15799999999996</v>
      </c>
      <c r="H36" s="66">
        <v>40.895899999999926</v>
      </c>
      <c r="I36" s="66">
        <v>133.07999999999998</v>
      </c>
      <c r="J36" s="74">
        <v>-1.0000000002037268E-3</v>
      </c>
    </row>
    <row r="37" spans="3:10">
      <c r="C37" s="61" t="s">
        <v>125</v>
      </c>
      <c r="D37" s="66">
        <v>7938</v>
      </c>
      <c r="E37" s="66">
        <v>7024.66</v>
      </c>
      <c r="F37" s="66">
        <v>0</v>
      </c>
      <c r="G37" s="66">
        <v>263.33999999999997</v>
      </c>
      <c r="H37" s="66">
        <v>502.39</v>
      </c>
      <c r="I37" s="66">
        <v>160.69</v>
      </c>
      <c r="J37" s="74">
        <f>+D37-E37-G37-H37</f>
        <v>147.61000000000024</v>
      </c>
    </row>
    <row r="38" spans="3:10">
      <c r="C38" s="85" t="s">
        <v>439</v>
      </c>
      <c r="J38" s="71"/>
    </row>
    <row r="39" spans="3:10">
      <c r="C39" s="77" t="s">
        <v>440</v>
      </c>
      <c r="D39" s="74">
        <v>1218.2</v>
      </c>
      <c r="E39" s="74">
        <v>1145.3600000000001</v>
      </c>
      <c r="F39" s="67">
        <v>5</v>
      </c>
      <c r="G39" s="74">
        <v>5.58</v>
      </c>
      <c r="H39" s="74">
        <v>10</v>
      </c>
      <c r="I39" s="74">
        <v>1.84E-2</v>
      </c>
      <c r="J39" s="74">
        <v>57.25999999999992</v>
      </c>
    </row>
    <row r="40" spans="3:10">
      <c r="C40" s="77" t="s">
        <v>245</v>
      </c>
      <c r="D40" s="58">
        <v>864.07</v>
      </c>
      <c r="E40" s="58">
        <v>856.51</v>
      </c>
      <c r="F40" s="67"/>
      <c r="G40" s="74"/>
      <c r="H40" s="74"/>
      <c r="I40" s="80"/>
      <c r="J40" s="74">
        <v>7.5600000000000591</v>
      </c>
    </row>
    <row r="41" spans="3:10">
      <c r="C41" s="77" t="s">
        <v>27</v>
      </c>
      <c r="D41" s="68">
        <v>3093.2799999999997</v>
      </c>
      <c r="E41" s="68">
        <v>2915.3100000000004</v>
      </c>
      <c r="F41" s="67">
        <v>8</v>
      </c>
      <c r="G41" s="68">
        <v>8.74</v>
      </c>
      <c r="H41" s="68">
        <v>110</v>
      </c>
      <c r="I41" s="68">
        <v>7.5152000000000001</v>
      </c>
      <c r="J41" s="74">
        <v>59.229999999999336</v>
      </c>
    </row>
    <row r="42" spans="3:10">
      <c r="C42" s="77" t="s">
        <v>441</v>
      </c>
      <c r="D42" s="74">
        <v>3389.8399999999997</v>
      </c>
      <c r="E42" s="74">
        <v>2962.97</v>
      </c>
      <c r="F42" s="67">
        <v>68</v>
      </c>
      <c r="G42" s="67">
        <v>74.239999999999995</v>
      </c>
      <c r="H42" s="68">
        <v>13</v>
      </c>
      <c r="I42" s="82">
        <v>2.2120000000000002</v>
      </c>
      <c r="J42" s="74">
        <v>339.62999999999988</v>
      </c>
    </row>
    <row r="43" spans="3:10">
      <c r="C43" s="86" t="s">
        <v>246</v>
      </c>
      <c r="D43" s="66">
        <v>1117.74</v>
      </c>
      <c r="E43" s="66">
        <v>1026.0999999999999</v>
      </c>
      <c r="F43" s="67">
        <v>0.04</v>
      </c>
      <c r="G43" s="67">
        <v>0.05</v>
      </c>
      <c r="H43" s="64">
        <v>50</v>
      </c>
      <c r="I43" s="82">
        <v>4.7899999999999998E-2</v>
      </c>
      <c r="J43" s="74">
        <v>41.590000000000103</v>
      </c>
    </row>
    <row r="44" spans="3:10">
      <c r="C44" s="86" t="s">
        <v>247</v>
      </c>
      <c r="D44" s="66">
        <v>898.62</v>
      </c>
      <c r="E44" s="66">
        <v>838.51</v>
      </c>
      <c r="F44" s="67">
        <v>1.8</v>
      </c>
      <c r="G44" s="66">
        <v>2</v>
      </c>
      <c r="H44" s="66">
        <v>40</v>
      </c>
      <c r="I44" s="66">
        <v>1.6711999999999998</v>
      </c>
      <c r="J44" s="74">
        <v>18.110000000000014</v>
      </c>
    </row>
    <row r="45" spans="3:10">
      <c r="C45" s="61" t="s">
        <v>442</v>
      </c>
      <c r="D45" s="66">
        <v>678.40000000000009</v>
      </c>
      <c r="E45" s="66">
        <v>566.99</v>
      </c>
      <c r="F45" s="66"/>
      <c r="G45" s="66"/>
      <c r="H45" s="66"/>
      <c r="I45" s="66"/>
      <c r="J45" s="74">
        <v>111.41000000000008</v>
      </c>
    </row>
    <row r="46" spans="3:10">
      <c r="C46" s="61" t="s">
        <v>443</v>
      </c>
      <c r="D46" s="66">
        <v>1974.9899999999998</v>
      </c>
      <c r="E46" s="66">
        <v>1821.85</v>
      </c>
      <c r="F46" s="66"/>
      <c r="G46" s="66"/>
      <c r="H46" s="66"/>
      <c r="I46" s="66"/>
      <c r="J46" s="74">
        <v>153.13999999999987</v>
      </c>
    </row>
    <row r="47" spans="3:10">
      <c r="C47" s="61" t="s">
        <v>444</v>
      </c>
      <c r="D47" s="66">
        <v>7566.4400000000023</v>
      </c>
      <c r="E47" s="66">
        <v>6856.4399999999969</v>
      </c>
      <c r="F47" s="66">
        <v>107.16</v>
      </c>
      <c r="G47" s="66">
        <v>116.46</v>
      </c>
      <c r="H47" s="66">
        <v>237</v>
      </c>
      <c r="I47" s="66">
        <v>17.4693</v>
      </c>
      <c r="J47" s="74">
        <v>356.54000000000542</v>
      </c>
    </row>
    <row r="48" spans="3:10">
      <c r="C48" s="61" t="s">
        <v>125</v>
      </c>
      <c r="D48" s="66">
        <v>20801.580000000002</v>
      </c>
      <c r="E48" s="66">
        <v>18990.039999999997</v>
      </c>
      <c r="F48" s="66">
        <v>190</v>
      </c>
      <c r="G48" s="66">
        <v>207.07</v>
      </c>
      <c r="H48" s="66">
        <v>460</v>
      </c>
      <c r="I48" s="66">
        <v>28.934000000000001</v>
      </c>
      <c r="J48" s="74">
        <v>1144.4700000000046</v>
      </c>
    </row>
    <row r="52" spans="3:15">
      <c r="M52" s="712" t="s">
        <v>455</v>
      </c>
      <c r="N52" s="713"/>
      <c r="O52" s="713"/>
    </row>
    <row r="53" spans="3:15" ht="26.45" customHeight="1">
      <c r="C53" s="87"/>
      <c r="D53" s="88" t="s">
        <v>445</v>
      </c>
      <c r="E53" s="88" t="s">
        <v>447</v>
      </c>
      <c r="F53" s="88" t="s">
        <v>144</v>
      </c>
      <c r="G53" s="88" t="s">
        <v>448</v>
      </c>
      <c r="I53" s="88" t="s">
        <v>449</v>
      </c>
      <c r="J53" s="88" t="s">
        <v>450</v>
      </c>
      <c r="K53" s="88" t="s">
        <v>451</v>
      </c>
      <c r="M53" s="88" t="s">
        <v>452</v>
      </c>
      <c r="N53" s="88" t="s">
        <v>453</v>
      </c>
      <c r="O53" s="88" t="s">
        <v>454</v>
      </c>
    </row>
    <row r="54" spans="3:15">
      <c r="C54" s="89" t="s">
        <v>445</v>
      </c>
      <c r="D54" s="89" t="s">
        <v>446</v>
      </c>
      <c r="E54" s="90"/>
      <c r="F54" s="90"/>
      <c r="G54" s="90"/>
      <c r="I54" s="91"/>
      <c r="J54" s="91"/>
      <c r="K54" s="91"/>
      <c r="M54" s="91"/>
      <c r="N54" s="91"/>
      <c r="O54" s="91">
        <f>M54-N54</f>
        <v>0</v>
      </c>
    </row>
    <row r="55" spans="3:15">
      <c r="C55" s="90" t="s">
        <v>409</v>
      </c>
      <c r="D55" s="90" t="e">
        <f>#REF!</f>
        <v>#REF!</v>
      </c>
      <c r="E55" s="91" t="e">
        <f>#REF!</f>
        <v>#REF!</v>
      </c>
      <c r="F55" s="91" t="e">
        <f>#REF!</f>
        <v>#REF!</v>
      </c>
      <c r="G55" s="91" t="e">
        <f>E55-F55</f>
        <v>#REF!</v>
      </c>
      <c r="I55" s="91" t="e">
        <f>#REF!</f>
        <v>#REF!</v>
      </c>
      <c r="J55" s="91" t="e">
        <f>#REF!</f>
        <v>#REF!</v>
      </c>
      <c r="K55" s="91" t="e">
        <f>#N/A</f>
        <v>#N/A</v>
      </c>
      <c r="M55" s="91" t="e">
        <f>#REF!</f>
        <v>#REF!</v>
      </c>
      <c r="N55" s="90" t="e">
        <f>#REF!</f>
        <v>#REF!</v>
      </c>
      <c r="O55" s="91" t="e">
        <f>#N/A</f>
        <v>#N/A</v>
      </c>
    </row>
    <row r="56" spans="3:15">
      <c r="C56" s="90" t="s">
        <v>410</v>
      </c>
      <c r="D56" s="91" t="e">
        <f>#REF!</f>
        <v>#REF!</v>
      </c>
      <c r="E56" s="91" t="e">
        <f>#REF!</f>
        <v>#REF!</v>
      </c>
      <c r="F56" s="91" t="e">
        <f>#REF!</f>
        <v>#REF!</v>
      </c>
      <c r="G56" s="91" t="e">
        <f>#N/A</f>
        <v>#N/A</v>
      </c>
      <c r="I56" s="91" t="e">
        <f>#REF!</f>
        <v>#REF!</v>
      </c>
      <c r="J56" s="91" t="e">
        <f>#REF!</f>
        <v>#REF!</v>
      </c>
      <c r="K56" s="91" t="e">
        <f>#N/A</f>
        <v>#N/A</v>
      </c>
      <c r="M56" s="91" t="e">
        <f>#REF!</f>
        <v>#REF!</v>
      </c>
      <c r="N56" s="90" t="e">
        <f>#REF!</f>
        <v>#REF!</v>
      </c>
      <c r="O56" s="91" t="e">
        <f>#N/A</f>
        <v>#N/A</v>
      </c>
    </row>
    <row r="57" spans="3:15">
      <c r="C57" s="90" t="s">
        <v>411</v>
      </c>
      <c r="D57" s="90" t="e">
        <f>#REF!</f>
        <v>#REF!</v>
      </c>
      <c r="E57" s="91" t="e">
        <f>#REF!</f>
        <v>#REF!</v>
      </c>
      <c r="F57" s="91" t="e">
        <f>#REF!</f>
        <v>#REF!</v>
      </c>
      <c r="G57" s="91" t="e">
        <f>#N/A</f>
        <v>#N/A</v>
      </c>
      <c r="I57" s="91" t="e">
        <f>#REF!</f>
        <v>#REF!</v>
      </c>
      <c r="J57" s="91" t="e">
        <f>#REF!</f>
        <v>#REF!</v>
      </c>
      <c r="K57" s="91" t="e">
        <f>#N/A</f>
        <v>#N/A</v>
      </c>
      <c r="M57" s="90" t="e">
        <f>#REF!</f>
        <v>#REF!</v>
      </c>
      <c r="N57" s="90" t="e">
        <f>#REF!</f>
        <v>#REF!</v>
      </c>
      <c r="O57" s="91" t="e">
        <f>#N/A</f>
        <v>#N/A</v>
      </c>
    </row>
    <row r="58" spans="3:15">
      <c r="C58" s="90" t="s">
        <v>412</v>
      </c>
      <c r="D58" s="91" t="e">
        <f>#REF!</f>
        <v>#REF!</v>
      </c>
      <c r="E58" s="91" t="e">
        <f>#REF!</f>
        <v>#REF!</v>
      </c>
      <c r="F58" s="91" t="e">
        <f>#REF!</f>
        <v>#REF!</v>
      </c>
      <c r="G58" s="91" t="e">
        <f>#N/A</f>
        <v>#N/A</v>
      </c>
      <c r="I58" s="91" t="e">
        <f>#REF!</f>
        <v>#REF!</v>
      </c>
      <c r="J58" s="91" t="e">
        <f>#REF!</f>
        <v>#REF!</v>
      </c>
      <c r="K58" s="91" t="e">
        <f>#N/A</f>
        <v>#N/A</v>
      </c>
      <c r="M58" s="91" t="e">
        <f>#REF!</f>
        <v>#REF!</v>
      </c>
      <c r="N58" s="90" t="e">
        <f>#REF!</f>
        <v>#REF!</v>
      </c>
      <c r="O58" s="91" t="e">
        <f>#N/A</f>
        <v>#N/A</v>
      </c>
    </row>
    <row r="59" spans="3:15">
      <c r="C59" s="90" t="s">
        <v>106</v>
      </c>
      <c r="D59" s="90" t="e">
        <f>#REF!</f>
        <v>#REF!</v>
      </c>
      <c r="E59" s="91" t="e">
        <f>#REF!</f>
        <v>#REF!</v>
      </c>
      <c r="F59" s="91" t="e">
        <f>#REF!</f>
        <v>#REF!</v>
      </c>
      <c r="G59" s="91" t="e">
        <f>#N/A</f>
        <v>#N/A</v>
      </c>
      <c r="I59" s="91" t="e">
        <f>#REF!</f>
        <v>#REF!</v>
      </c>
      <c r="J59" s="91" t="e">
        <f>#REF!</f>
        <v>#REF!</v>
      </c>
      <c r="K59" s="91" t="e">
        <f>#N/A</f>
        <v>#N/A</v>
      </c>
      <c r="M59" s="90" t="e">
        <f>#REF!</f>
        <v>#REF!</v>
      </c>
      <c r="N59" s="90" t="e">
        <f>#REF!</f>
        <v>#REF!</v>
      </c>
      <c r="O59" s="91" t="e">
        <f>#N/A</f>
        <v>#N/A</v>
      </c>
    </row>
    <row r="60" spans="3:15">
      <c r="C60" s="90" t="s">
        <v>413</v>
      </c>
      <c r="D60" s="91" t="e">
        <f>#REF!</f>
        <v>#REF!</v>
      </c>
      <c r="E60" s="91" t="e">
        <f>#REF!</f>
        <v>#REF!</v>
      </c>
      <c r="F60" s="91">
        <v>0</v>
      </c>
      <c r="G60" s="91" t="e">
        <f>#N/A</f>
        <v>#N/A</v>
      </c>
      <c r="I60" s="91" t="e">
        <f>#REF!</f>
        <v>#REF!</v>
      </c>
      <c r="J60" s="91"/>
      <c r="K60" s="91" t="e">
        <f>#N/A</f>
        <v>#N/A</v>
      </c>
      <c r="M60" s="91" t="e">
        <f>#REF!</f>
        <v>#REF!</v>
      </c>
      <c r="N60" s="90"/>
      <c r="O60" s="91" t="e">
        <f>#N/A</f>
        <v>#N/A</v>
      </c>
    </row>
    <row r="61" spans="3:15">
      <c r="C61" s="90" t="s">
        <v>414</v>
      </c>
      <c r="D61" s="91" t="e">
        <f>#REF!</f>
        <v>#REF!</v>
      </c>
      <c r="E61" s="91" t="e">
        <f>#REF!</f>
        <v>#REF!</v>
      </c>
      <c r="F61" s="91">
        <v>0</v>
      </c>
      <c r="G61" s="91" t="e">
        <f>#N/A</f>
        <v>#N/A</v>
      </c>
      <c r="I61" s="91" t="e">
        <f>#REF!</f>
        <v>#REF!</v>
      </c>
      <c r="J61" s="91"/>
      <c r="K61" s="91" t="e">
        <f>#N/A</f>
        <v>#N/A</v>
      </c>
      <c r="M61" s="91" t="e">
        <f>#REF!</f>
        <v>#REF!</v>
      </c>
      <c r="N61" s="90"/>
      <c r="O61" s="91" t="e">
        <f>#N/A</f>
        <v>#N/A</v>
      </c>
    </row>
    <row r="62" spans="3:15">
      <c r="C62" s="90" t="s">
        <v>437</v>
      </c>
      <c r="D62" s="91" t="e">
        <f>#REF!</f>
        <v>#REF!</v>
      </c>
      <c r="E62" s="91" t="e">
        <f>#REF!</f>
        <v>#REF!</v>
      </c>
      <c r="F62" s="91" t="e">
        <f>#REF!</f>
        <v>#REF!</v>
      </c>
      <c r="G62" s="91" t="e">
        <f>#N/A</f>
        <v>#N/A</v>
      </c>
      <c r="I62" s="91" t="e">
        <f>#REF!</f>
        <v>#REF!</v>
      </c>
      <c r="J62" s="91" t="e">
        <f>#REF!</f>
        <v>#REF!</v>
      </c>
      <c r="K62" s="91" t="e">
        <f>#N/A</f>
        <v>#N/A</v>
      </c>
      <c r="M62" s="91" t="e">
        <f>#REF!</f>
        <v>#REF!</v>
      </c>
      <c r="N62" s="91" t="e">
        <f>#REF!</f>
        <v>#REF!</v>
      </c>
      <c r="O62" s="91" t="e">
        <f>#N/A</f>
        <v>#N/A</v>
      </c>
    </row>
    <row r="63" spans="3:15">
      <c r="C63" s="90" t="s">
        <v>132</v>
      </c>
      <c r="D63" s="91" t="e">
        <f>#REF!</f>
        <v>#REF!</v>
      </c>
      <c r="E63" s="91" t="e">
        <f>#REF!</f>
        <v>#REF!</v>
      </c>
      <c r="F63" s="91">
        <v>0</v>
      </c>
      <c r="G63" s="91" t="e">
        <f>#N/A</f>
        <v>#N/A</v>
      </c>
      <c r="I63" s="91" t="e">
        <f>#REF!</f>
        <v>#REF!</v>
      </c>
      <c r="J63" s="91"/>
      <c r="K63" s="91" t="e">
        <f>#N/A</f>
        <v>#N/A</v>
      </c>
      <c r="M63" s="91" t="e">
        <f>#REF!</f>
        <v>#REF!</v>
      </c>
      <c r="N63" s="90"/>
      <c r="O63" s="91" t="e">
        <f>#N/A</f>
        <v>#N/A</v>
      </c>
    </row>
    <row r="64" spans="3:15">
      <c r="C64" s="90" t="s">
        <v>415</v>
      </c>
      <c r="D64" s="91" t="e">
        <f>#REF!</f>
        <v>#REF!</v>
      </c>
      <c r="E64" s="91" t="e">
        <f>#REF!</f>
        <v>#REF!</v>
      </c>
      <c r="F64" s="91">
        <v>0</v>
      </c>
      <c r="G64" s="91" t="e">
        <f>#N/A</f>
        <v>#N/A</v>
      </c>
      <c r="I64" s="91" t="e">
        <f>#REF!</f>
        <v>#REF!</v>
      </c>
      <c r="J64" s="91"/>
      <c r="K64" s="91" t="e">
        <f>#N/A</f>
        <v>#N/A</v>
      </c>
      <c r="M64" s="91" t="e">
        <f>#REF!</f>
        <v>#REF!</v>
      </c>
      <c r="N64" s="90"/>
      <c r="O64" s="91" t="e">
        <f>#N/A</f>
        <v>#N/A</v>
      </c>
    </row>
    <row r="65" spans="3:15">
      <c r="C65" s="90" t="s">
        <v>416</v>
      </c>
      <c r="D65" s="91" t="e">
        <f>#REF!</f>
        <v>#REF!</v>
      </c>
      <c r="E65" s="91" t="e">
        <f>#REF!</f>
        <v>#REF!</v>
      </c>
      <c r="F65" s="91">
        <v>0</v>
      </c>
      <c r="G65" s="91" t="e">
        <f>#N/A</f>
        <v>#N/A</v>
      </c>
      <c r="I65" s="91"/>
      <c r="J65" s="91"/>
      <c r="K65" s="91" t="e">
        <f>#N/A</f>
        <v>#N/A</v>
      </c>
      <c r="M65" s="90"/>
      <c r="N65" s="90"/>
      <c r="O65" s="91" t="e">
        <f>#N/A</f>
        <v>#N/A</v>
      </c>
    </row>
    <row r="66" spans="3:15">
      <c r="C66" s="89" t="s">
        <v>125</v>
      </c>
      <c r="D66" s="92" t="e">
        <f>SUM(D55:D65)</f>
        <v>#REF!</v>
      </c>
      <c r="E66" s="92" t="e">
        <f>#N/A</f>
        <v>#N/A</v>
      </c>
      <c r="F66" s="92" t="e">
        <f>#N/A</f>
        <v>#N/A</v>
      </c>
      <c r="G66" s="92" t="e">
        <f>#N/A</f>
        <v>#N/A</v>
      </c>
      <c r="H66" s="69"/>
      <c r="I66" s="92" t="e">
        <f>#N/A</f>
        <v>#N/A</v>
      </c>
      <c r="J66" s="92" t="e">
        <f>#N/A</f>
        <v>#N/A</v>
      </c>
      <c r="K66" s="92" t="e">
        <f>#N/A</f>
        <v>#N/A</v>
      </c>
      <c r="L66" s="69"/>
      <c r="M66" s="92" t="e">
        <f>#N/A</f>
        <v>#N/A</v>
      </c>
      <c r="N66" s="92" t="e">
        <f>#N/A</f>
        <v>#N/A</v>
      </c>
      <c r="O66" s="92" t="e">
        <f>#N/A</f>
        <v>#N/A</v>
      </c>
    </row>
    <row r="69" spans="3:15">
      <c r="I69" s="93"/>
      <c r="J69" s="93"/>
      <c r="K69" s="94"/>
      <c r="L69" s="94"/>
      <c r="M69" s="94"/>
      <c r="N69" s="94"/>
      <c r="O69" s="95"/>
    </row>
    <row r="70" spans="3:15">
      <c r="I70" s="95"/>
      <c r="J70" s="95"/>
      <c r="K70" s="95"/>
      <c r="L70" s="95"/>
      <c r="M70" s="95"/>
      <c r="N70" s="95"/>
      <c r="O70" s="95"/>
    </row>
    <row r="71" spans="3:15">
      <c r="I71" s="95"/>
      <c r="J71" s="95"/>
      <c r="K71" s="95"/>
      <c r="L71" s="95"/>
      <c r="M71" s="95"/>
      <c r="N71" s="95"/>
      <c r="O71" s="95"/>
    </row>
    <row r="72" spans="3:15">
      <c r="I72" s="96"/>
      <c r="J72" s="95"/>
      <c r="K72" s="95"/>
      <c r="L72" s="95"/>
      <c r="M72" s="95"/>
      <c r="N72" s="95"/>
      <c r="O72" s="95"/>
    </row>
    <row r="73" spans="3:15">
      <c r="I73" s="714"/>
      <c r="J73" s="95"/>
      <c r="K73" s="95"/>
      <c r="L73" s="95"/>
      <c r="M73" s="95"/>
      <c r="N73" s="95"/>
      <c r="O73" s="95"/>
    </row>
    <row r="74" spans="3:15">
      <c r="I74" s="714"/>
      <c r="J74" s="95"/>
      <c r="K74" s="96"/>
      <c r="L74" s="95"/>
      <c r="M74" s="95"/>
      <c r="N74" s="95"/>
      <c r="O74" s="95"/>
    </row>
    <row r="75" spans="3:15">
      <c r="I75" s="95"/>
      <c r="J75" s="95"/>
      <c r="K75" s="714"/>
      <c r="L75" s="95"/>
      <c r="M75" s="95"/>
      <c r="N75" s="95"/>
      <c r="O75" s="95"/>
    </row>
    <row r="76" spans="3:15">
      <c r="I76" s="95"/>
      <c r="J76" s="95"/>
      <c r="K76" s="714"/>
      <c r="L76" s="95"/>
      <c r="M76" s="95"/>
      <c r="N76" s="95"/>
      <c r="O76" s="95"/>
    </row>
  </sheetData>
  <mergeCells count="4">
    <mergeCell ref="F3:G3"/>
    <mergeCell ref="M52:O52"/>
    <mergeCell ref="I73:I74"/>
    <mergeCell ref="K75:K7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19"/>
  <dimension ref="A1:AA325"/>
  <sheetViews>
    <sheetView workbookViewId="0">
      <selection activeCell="B42" sqref="B42"/>
    </sheetView>
  </sheetViews>
  <sheetFormatPr defaultColWidth="8.85546875" defaultRowHeight="12.75"/>
  <cols>
    <col min="2" max="2" width="54.42578125" customWidth="1"/>
    <col min="3" max="3" width="0" hidden="1" customWidth="1"/>
    <col min="4" max="5" width="11.42578125" customWidth="1"/>
    <col min="6" max="6" width="10.42578125" customWidth="1"/>
  </cols>
  <sheetData>
    <row r="1" spans="1:25">
      <c r="A1" s="723" t="s">
        <v>89</v>
      </c>
      <c r="B1" s="724"/>
      <c r="C1" s="724"/>
      <c r="D1" s="724"/>
      <c r="E1" s="724"/>
      <c r="F1" s="724"/>
      <c r="G1" s="724"/>
      <c r="H1" s="724"/>
      <c r="I1" s="724"/>
      <c r="J1" s="724"/>
      <c r="K1" s="724"/>
      <c r="L1" s="724"/>
      <c r="M1" s="724"/>
      <c r="N1" s="724"/>
      <c r="O1" s="724"/>
      <c r="P1" s="724"/>
      <c r="Q1" s="154"/>
      <c r="R1" s="154"/>
      <c r="S1" s="154"/>
      <c r="T1" s="154"/>
      <c r="U1" s="154"/>
      <c r="V1" s="154"/>
      <c r="W1" s="154"/>
      <c r="X1" s="154"/>
      <c r="Y1" s="154"/>
    </row>
    <row r="2" spans="1:25">
      <c r="A2" s="160" t="s">
        <v>619</v>
      </c>
      <c r="B2" s="109"/>
      <c r="C2" s="109"/>
      <c r="D2" s="109"/>
      <c r="E2" s="109"/>
      <c r="F2" s="127"/>
      <c r="G2" s="109"/>
      <c r="H2" s="109"/>
      <c r="I2" s="127">
        <v>100</v>
      </c>
      <c r="J2" s="109"/>
      <c r="K2" s="109"/>
      <c r="L2" s="109"/>
      <c r="M2" s="109"/>
      <c r="N2" s="109"/>
      <c r="O2" s="109"/>
      <c r="P2" s="198" t="s">
        <v>457</v>
      </c>
      <c r="Q2" s="109"/>
      <c r="R2" s="109"/>
      <c r="S2" s="109"/>
      <c r="T2" s="109"/>
      <c r="U2" s="109"/>
      <c r="V2" s="109"/>
      <c r="W2" s="109"/>
      <c r="X2" s="109"/>
      <c r="Y2" s="109"/>
    </row>
    <row r="3" spans="1:25" ht="13.5" thickBot="1">
      <c r="A3" s="160"/>
      <c r="B3" s="128"/>
      <c r="C3" s="128"/>
      <c r="D3" s="128"/>
      <c r="E3" s="128"/>
      <c r="F3" s="128"/>
      <c r="G3" s="128"/>
      <c r="H3" s="346"/>
      <c r="I3" s="129" t="s">
        <v>29</v>
      </c>
      <c r="J3" s="129" t="s">
        <v>458</v>
      </c>
      <c r="K3" s="129"/>
      <c r="L3" s="129"/>
      <c r="M3" s="129"/>
      <c r="N3" s="128"/>
      <c r="O3" s="128"/>
      <c r="P3" s="128"/>
      <c r="Q3" s="128"/>
      <c r="R3" s="128"/>
      <c r="S3" s="109"/>
      <c r="T3" s="109"/>
      <c r="U3" s="109"/>
      <c r="V3" s="109"/>
      <c r="W3" s="109"/>
      <c r="X3" s="109"/>
      <c r="Y3" s="109"/>
    </row>
    <row r="4" spans="1:25">
      <c r="A4" s="206" t="s">
        <v>67</v>
      </c>
      <c r="B4" s="201" t="s">
        <v>49</v>
      </c>
      <c r="C4" s="201"/>
      <c r="D4" s="201" t="s">
        <v>48</v>
      </c>
      <c r="E4" s="201" t="s">
        <v>47</v>
      </c>
      <c r="F4" s="201" t="s">
        <v>95</v>
      </c>
      <c r="G4" s="201" t="s">
        <v>95</v>
      </c>
      <c r="H4" s="715" t="s">
        <v>81</v>
      </c>
      <c r="I4" s="716"/>
      <c r="J4" s="261" t="s">
        <v>82</v>
      </c>
      <c r="K4" s="219" t="s">
        <v>149</v>
      </c>
      <c r="L4" s="219" t="s">
        <v>248</v>
      </c>
      <c r="M4" s="219" t="s">
        <v>459</v>
      </c>
      <c r="N4" s="715" t="s">
        <v>45</v>
      </c>
      <c r="O4" s="717"/>
      <c r="P4" s="718"/>
      <c r="Q4" s="181" t="s">
        <v>33</v>
      </c>
      <c r="R4" s="118"/>
      <c r="S4" s="119"/>
      <c r="T4" s="109"/>
      <c r="U4" s="109"/>
      <c r="V4" s="121" t="s">
        <v>460</v>
      </c>
      <c r="W4" s="121" t="s">
        <v>461</v>
      </c>
      <c r="X4" s="109"/>
      <c r="Y4" s="109"/>
    </row>
    <row r="5" spans="1:25">
      <c r="A5" s="211"/>
      <c r="B5" s="122"/>
      <c r="C5" s="122"/>
      <c r="D5" s="120" t="s">
        <v>44</v>
      </c>
      <c r="E5" s="120" t="s">
        <v>66</v>
      </c>
      <c r="F5" s="120" t="s">
        <v>43</v>
      </c>
      <c r="G5" s="120" t="s">
        <v>462</v>
      </c>
      <c r="H5" s="347" t="s">
        <v>38</v>
      </c>
      <c r="I5" s="130" t="s">
        <v>42</v>
      </c>
      <c r="J5" s="130" t="s">
        <v>38</v>
      </c>
      <c r="K5" s="132" t="s">
        <v>64</v>
      </c>
      <c r="L5" s="132" t="s">
        <v>64</v>
      </c>
      <c r="M5" s="132" t="s">
        <v>64</v>
      </c>
      <c r="N5" s="120" t="s">
        <v>41</v>
      </c>
      <c r="O5" s="120" t="s">
        <v>40</v>
      </c>
      <c r="P5" s="223" t="s">
        <v>39</v>
      </c>
      <c r="Q5" s="220" t="s">
        <v>463</v>
      </c>
      <c r="R5" s="120" t="s">
        <v>464</v>
      </c>
      <c r="S5" s="119"/>
      <c r="T5" s="161" t="s">
        <v>407</v>
      </c>
      <c r="U5" s="123" t="s">
        <v>407</v>
      </c>
      <c r="V5" s="121" t="s">
        <v>65</v>
      </c>
      <c r="W5" s="109"/>
      <c r="X5" s="109"/>
      <c r="Y5" s="109"/>
    </row>
    <row r="6" spans="1:25" ht="13.5" thickBot="1">
      <c r="A6" s="212"/>
      <c r="B6" s="199"/>
      <c r="C6" s="199"/>
      <c r="D6" s="199"/>
      <c r="E6" s="200"/>
      <c r="F6" s="200" t="s">
        <v>465</v>
      </c>
      <c r="G6" s="200"/>
      <c r="H6" s="348"/>
      <c r="I6" s="257"/>
      <c r="J6" s="257"/>
      <c r="K6" s="200"/>
      <c r="L6" s="200"/>
      <c r="M6" s="200"/>
      <c r="N6" s="200" t="s">
        <v>37</v>
      </c>
      <c r="O6" s="200" t="s">
        <v>36</v>
      </c>
      <c r="P6" s="210" t="s">
        <v>35</v>
      </c>
      <c r="Q6" s="186"/>
      <c r="R6" s="120" t="s">
        <v>33</v>
      </c>
      <c r="S6" s="119" t="s">
        <v>466</v>
      </c>
      <c r="T6" s="123" t="s">
        <v>467</v>
      </c>
      <c r="U6" s="123" t="s">
        <v>408</v>
      </c>
      <c r="V6" s="109"/>
      <c r="W6" s="109"/>
      <c r="X6" s="109"/>
      <c r="Y6" s="109"/>
    </row>
    <row r="7" spans="1:25">
      <c r="A7" s="213" t="s">
        <v>32</v>
      </c>
      <c r="B7" s="162" t="s">
        <v>468</v>
      </c>
      <c r="C7" s="162"/>
      <c r="D7" s="137"/>
      <c r="E7" s="137"/>
      <c r="F7" s="137"/>
      <c r="G7" s="137"/>
      <c r="H7" s="349"/>
      <c r="I7" s="137"/>
      <c r="J7" s="137"/>
      <c r="K7" s="137"/>
      <c r="L7" s="137"/>
      <c r="M7" s="137"/>
      <c r="N7" s="180"/>
      <c r="O7" s="180"/>
      <c r="P7" s="224"/>
      <c r="Q7" s="183"/>
      <c r="R7" s="180"/>
      <c r="S7" s="150" t="e">
        <v>#REF!</v>
      </c>
      <c r="T7" s="114">
        <v>0</v>
      </c>
      <c r="U7" s="109"/>
      <c r="V7" s="109"/>
      <c r="W7" s="109"/>
      <c r="X7" s="109"/>
      <c r="Y7" s="127"/>
    </row>
    <row r="8" spans="1:25" ht="15.75">
      <c r="A8" s="263">
        <v>1</v>
      </c>
      <c r="B8" s="254" t="s">
        <v>63</v>
      </c>
      <c r="C8" s="249" t="s">
        <v>150</v>
      </c>
      <c r="D8" s="106">
        <v>170.41</v>
      </c>
      <c r="E8" s="106">
        <v>160.76</v>
      </c>
      <c r="F8" s="381">
        <v>160.76</v>
      </c>
      <c r="G8" s="65">
        <v>0</v>
      </c>
      <c r="H8" s="382">
        <v>0</v>
      </c>
      <c r="I8" s="258">
        <v>0</v>
      </c>
      <c r="J8" s="262">
        <v>0</v>
      </c>
      <c r="K8" s="192"/>
      <c r="L8" s="192"/>
      <c r="M8" s="192"/>
      <c r="N8" s="189"/>
      <c r="O8" s="189"/>
      <c r="P8" s="225"/>
      <c r="Q8" s="183"/>
      <c r="R8" s="137" t="e">
        <v>#REF!</v>
      </c>
      <c r="S8" s="150" t="e">
        <v>#REF!</v>
      </c>
      <c r="T8" s="114">
        <v>0</v>
      </c>
      <c r="U8" s="153" t="e">
        <v>#REF!</v>
      </c>
      <c r="V8" s="124">
        <v>0</v>
      </c>
      <c r="W8" s="114">
        <v>0</v>
      </c>
      <c r="X8" s="109"/>
      <c r="Y8" s="127"/>
    </row>
    <row r="9" spans="1:25" ht="15.75">
      <c r="A9" s="263">
        <v>2</v>
      </c>
      <c r="B9" s="254" t="s">
        <v>491</v>
      </c>
      <c r="C9" s="249" t="s">
        <v>151</v>
      </c>
      <c r="D9" s="106">
        <v>201.97</v>
      </c>
      <c r="E9" s="106">
        <v>202.51301247133205</v>
      </c>
      <c r="F9" s="381">
        <v>202.51301247133205</v>
      </c>
      <c r="G9" s="65">
        <v>0</v>
      </c>
      <c r="H9" s="382">
        <v>0</v>
      </c>
      <c r="I9" s="258">
        <v>0</v>
      </c>
      <c r="J9" s="262">
        <v>0</v>
      </c>
      <c r="K9" s="192"/>
      <c r="L9" s="192"/>
      <c r="M9" s="192"/>
      <c r="N9" s="189"/>
      <c r="O9" s="189"/>
      <c r="P9" s="225"/>
      <c r="Q9" s="183"/>
      <c r="R9" s="137" t="e">
        <v>#REF!</v>
      </c>
      <c r="S9" s="150" t="e">
        <v>#REF!</v>
      </c>
      <c r="T9" s="114">
        <v>0</v>
      </c>
      <c r="U9" s="153" t="e">
        <v>#REF!</v>
      </c>
      <c r="V9" s="124">
        <v>0</v>
      </c>
      <c r="W9" s="114">
        <v>0</v>
      </c>
      <c r="X9" s="109"/>
      <c r="Y9" s="127"/>
    </row>
    <row r="10" spans="1:25" ht="15.75">
      <c r="A10" s="263">
        <v>3</v>
      </c>
      <c r="B10" s="254" t="s">
        <v>62</v>
      </c>
      <c r="C10" s="249" t="s">
        <v>152</v>
      </c>
      <c r="D10" s="106">
        <v>46.7</v>
      </c>
      <c r="E10" s="106">
        <v>45.7</v>
      </c>
      <c r="F10" s="381">
        <v>45.7</v>
      </c>
      <c r="G10" s="65">
        <v>0</v>
      </c>
      <c r="H10" s="382">
        <v>0</v>
      </c>
      <c r="I10" s="258">
        <v>0</v>
      </c>
      <c r="J10" s="262">
        <v>0</v>
      </c>
      <c r="K10" s="192"/>
      <c r="L10" s="192"/>
      <c r="M10" s="192"/>
      <c r="N10" s="189"/>
      <c r="O10" s="189"/>
      <c r="P10" s="225"/>
      <c r="Q10" s="183"/>
      <c r="R10" s="137"/>
      <c r="S10" s="150"/>
      <c r="T10" s="114"/>
      <c r="U10" s="153"/>
      <c r="V10" s="124"/>
      <c r="W10" s="114"/>
      <c r="X10" s="109"/>
      <c r="Y10" s="127"/>
    </row>
    <row r="11" spans="1:25" ht="15.75">
      <c r="A11" s="263">
        <v>4</v>
      </c>
      <c r="B11" s="254" t="s">
        <v>492</v>
      </c>
      <c r="C11" s="249" t="s">
        <v>153</v>
      </c>
      <c r="D11" s="106">
        <v>477.04</v>
      </c>
      <c r="E11" s="106">
        <v>457.96567241380353</v>
      </c>
      <c r="F11" s="381">
        <v>457.96567241380353</v>
      </c>
      <c r="G11" s="65">
        <v>0</v>
      </c>
      <c r="H11" s="382">
        <v>0</v>
      </c>
      <c r="I11" s="258">
        <v>0</v>
      </c>
      <c r="J11" s="258">
        <v>0</v>
      </c>
      <c r="K11" s="192"/>
      <c r="L11" s="192"/>
      <c r="M11" s="192"/>
      <c r="N11" s="189"/>
      <c r="O11" s="189"/>
      <c r="P11" s="225"/>
      <c r="Q11" s="183"/>
      <c r="R11" s="137"/>
      <c r="S11" s="150"/>
      <c r="T11" s="114"/>
      <c r="U11" s="153"/>
      <c r="V11" s="124"/>
      <c r="W11" s="114"/>
      <c r="X11" s="109"/>
      <c r="Y11" s="127"/>
    </row>
    <row r="12" spans="1:25" ht="15.75">
      <c r="A12" s="263">
        <v>5</v>
      </c>
      <c r="B12" s="254" t="s">
        <v>493</v>
      </c>
      <c r="C12" s="249">
        <v>2005056</v>
      </c>
      <c r="D12" s="106">
        <v>83.9</v>
      </c>
      <c r="E12" s="106">
        <v>68.766004568000014</v>
      </c>
      <c r="F12" s="381">
        <v>68.766004568000014</v>
      </c>
      <c r="G12" s="65">
        <v>0</v>
      </c>
      <c r="H12" s="382">
        <v>0</v>
      </c>
      <c r="I12" s="258">
        <v>0</v>
      </c>
      <c r="J12" s="258">
        <v>0</v>
      </c>
      <c r="K12" s="192"/>
      <c r="L12" s="192"/>
      <c r="M12" s="192"/>
      <c r="N12" s="189"/>
      <c r="O12" s="189"/>
      <c r="P12" s="225"/>
      <c r="Q12" s="183"/>
      <c r="R12" s="137"/>
      <c r="S12" s="150"/>
      <c r="T12" s="114"/>
      <c r="U12" s="153"/>
      <c r="V12" s="124"/>
      <c r="W12" s="114"/>
      <c r="X12" s="109"/>
      <c r="Y12" s="127"/>
    </row>
    <row r="13" spans="1:25" ht="15.75">
      <c r="A13" s="312">
        <v>6</v>
      </c>
      <c r="B13" s="254" t="s">
        <v>494</v>
      </c>
      <c r="C13" s="304">
        <v>2007003</v>
      </c>
      <c r="D13" s="105">
        <v>56.448939799999998</v>
      </c>
      <c r="E13" s="106">
        <v>55.845190483000003</v>
      </c>
      <c r="F13" s="383">
        <v>55.845190483000003</v>
      </c>
      <c r="G13" s="313">
        <v>0</v>
      </c>
      <c r="H13" s="382">
        <v>0</v>
      </c>
      <c r="I13" s="258">
        <v>0</v>
      </c>
      <c r="J13" s="258">
        <v>0</v>
      </c>
      <c r="K13" s="314"/>
      <c r="L13" s="314"/>
      <c r="M13" s="314"/>
      <c r="N13" s="305"/>
      <c r="O13" s="305"/>
      <c r="P13" s="315"/>
      <c r="Q13" s="306"/>
      <c r="R13" s="316"/>
      <c r="S13" s="307"/>
      <c r="T13" s="310"/>
      <c r="U13" s="308"/>
      <c r="V13" s="309"/>
      <c r="W13" s="310"/>
      <c r="X13" s="317"/>
      <c r="Y13" s="311"/>
    </row>
    <row r="14" spans="1:25" ht="15.75">
      <c r="A14" s="271">
        <v>7</v>
      </c>
      <c r="B14" s="254" t="s">
        <v>495</v>
      </c>
      <c r="C14" s="272">
        <v>2007015</v>
      </c>
      <c r="D14" s="104">
        <v>125.94</v>
      </c>
      <c r="E14" s="106">
        <v>132.17958533000001</v>
      </c>
      <c r="F14" s="384">
        <v>132.17958533000001</v>
      </c>
      <c r="G14" s="273">
        <v>0</v>
      </c>
      <c r="H14" s="382">
        <v>0</v>
      </c>
      <c r="I14" s="258">
        <v>0</v>
      </c>
      <c r="J14" s="258">
        <v>0</v>
      </c>
      <c r="K14" s="274"/>
      <c r="L14" s="274"/>
      <c r="M14" s="274"/>
      <c r="N14" s="275"/>
      <c r="O14" s="275"/>
      <c r="P14" s="276"/>
      <c r="Q14" s="277"/>
      <c r="R14" s="278"/>
      <c r="S14" s="279"/>
      <c r="T14" s="280"/>
      <c r="U14" s="281"/>
      <c r="V14" s="282"/>
      <c r="W14" s="280"/>
      <c r="X14" s="283"/>
      <c r="Y14" s="284"/>
    </row>
    <row r="15" spans="1:25" ht="15.75">
      <c r="A15" s="263">
        <v>8</v>
      </c>
      <c r="B15" s="254" t="s">
        <v>496</v>
      </c>
      <c r="C15" s="254">
        <v>2007112</v>
      </c>
      <c r="D15" s="106">
        <v>172.78</v>
      </c>
      <c r="E15" s="106">
        <v>155.55173007300004</v>
      </c>
      <c r="F15" s="381">
        <v>155.55173007300004</v>
      </c>
      <c r="G15" s="65">
        <v>0</v>
      </c>
      <c r="H15" s="382">
        <v>0</v>
      </c>
      <c r="I15" s="258">
        <v>0</v>
      </c>
      <c r="J15" s="258">
        <v>0</v>
      </c>
      <c r="K15" s="192"/>
      <c r="L15" s="192"/>
      <c r="M15" s="192"/>
      <c r="N15" s="189"/>
      <c r="O15" s="189"/>
      <c r="P15" s="225"/>
      <c r="Q15" s="183"/>
      <c r="R15" s="137"/>
      <c r="S15" s="150"/>
      <c r="T15" s="114"/>
      <c r="U15" s="153"/>
      <c r="V15" s="124"/>
      <c r="W15" s="114"/>
      <c r="X15" s="109"/>
      <c r="Y15" s="127"/>
    </row>
    <row r="16" spans="1:25" ht="15.75">
      <c r="A16" s="263">
        <v>9</v>
      </c>
      <c r="B16" s="254" t="s">
        <v>61</v>
      </c>
      <c r="C16" s="254">
        <v>2007016</v>
      </c>
      <c r="D16" s="106">
        <v>48.31</v>
      </c>
      <c r="E16" s="106">
        <v>41.556265302</v>
      </c>
      <c r="F16" s="381">
        <v>41.556265302</v>
      </c>
      <c r="G16" s="65">
        <v>0</v>
      </c>
      <c r="H16" s="382">
        <v>0</v>
      </c>
      <c r="I16" s="258">
        <v>0</v>
      </c>
      <c r="J16" s="258">
        <v>0</v>
      </c>
      <c r="K16" s="192"/>
      <c r="L16" s="192"/>
      <c r="M16" s="192"/>
      <c r="N16" s="189"/>
      <c r="O16" s="189"/>
      <c r="P16" s="225"/>
      <c r="Q16" s="183"/>
      <c r="R16" s="137"/>
      <c r="S16" s="150"/>
      <c r="T16" s="114"/>
      <c r="U16" s="153"/>
      <c r="V16" s="124"/>
      <c r="W16" s="114"/>
      <c r="X16" s="109"/>
      <c r="Y16" s="127"/>
    </row>
    <row r="17" spans="1:25" ht="15.75">
      <c r="A17" s="271">
        <v>10</v>
      </c>
      <c r="B17" s="254" t="s">
        <v>399</v>
      </c>
      <c r="C17" s="272">
        <v>2007056</v>
      </c>
      <c r="D17" s="104">
        <v>49.210500000000003</v>
      </c>
      <c r="E17" s="106">
        <v>48.028860798000004</v>
      </c>
      <c r="F17" s="384">
        <v>48.028860798000004</v>
      </c>
      <c r="G17" s="273">
        <v>0</v>
      </c>
      <c r="H17" s="382">
        <v>0</v>
      </c>
      <c r="I17" s="258">
        <v>0</v>
      </c>
      <c r="J17" s="258">
        <v>0</v>
      </c>
      <c r="K17" s="274"/>
      <c r="L17" s="274"/>
      <c r="M17" s="274"/>
      <c r="N17" s="275"/>
      <c r="O17" s="275"/>
      <c r="P17" s="276"/>
      <c r="Q17" s="277"/>
      <c r="R17" s="278"/>
      <c r="S17" s="279"/>
      <c r="T17" s="280"/>
      <c r="U17" s="281"/>
      <c r="V17" s="282"/>
      <c r="W17" s="280"/>
      <c r="X17" s="283"/>
      <c r="Y17" s="284"/>
    </row>
    <row r="18" spans="1:25" ht="15.75">
      <c r="A18" s="263">
        <v>11</v>
      </c>
      <c r="B18" s="254" t="s">
        <v>497</v>
      </c>
      <c r="C18" s="254">
        <v>2007111</v>
      </c>
      <c r="D18" s="106">
        <v>45.54</v>
      </c>
      <c r="E18" s="106">
        <v>44.960938364</v>
      </c>
      <c r="F18" s="381">
        <v>44.960938364</v>
      </c>
      <c r="G18" s="65">
        <v>0</v>
      </c>
      <c r="H18" s="382">
        <v>0</v>
      </c>
      <c r="I18" s="258">
        <v>0</v>
      </c>
      <c r="J18" s="258">
        <v>0</v>
      </c>
      <c r="K18" s="192"/>
      <c r="L18" s="192"/>
      <c r="M18" s="192"/>
      <c r="N18" s="189"/>
      <c r="O18" s="189"/>
      <c r="P18" s="225"/>
      <c r="Q18" s="183"/>
      <c r="R18" s="137"/>
      <c r="S18" s="150"/>
      <c r="T18" s="114"/>
      <c r="U18" s="153"/>
      <c r="V18" s="124"/>
      <c r="W18" s="114"/>
      <c r="X18" s="109"/>
      <c r="Y18" s="127"/>
    </row>
    <row r="19" spans="1:25" ht="15.75">
      <c r="A19" s="263">
        <v>12</v>
      </c>
      <c r="B19" s="254" t="s">
        <v>498</v>
      </c>
      <c r="C19" s="254">
        <v>2007082</v>
      </c>
      <c r="D19" s="106">
        <v>20.87</v>
      </c>
      <c r="E19" s="106">
        <v>19.864461593000001</v>
      </c>
      <c r="F19" s="381">
        <v>19.864461593000001</v>
      </c>
      <c r="G19" s="65">
        <v>0</v>
      </c>
      <c r="H19" s="382">
        <v>0</v>
      </c>
      <c r="I19" s="258">
        <v>0</v>
      </c>
      <c r="J19" s="258">
        <v>0</v>
      </c>
      <c r="K19" s="192"/>
      <c r="L19" s="192"/>
      <c r="M19" s="192"/>
      <c r="N19" s="189"/>
      <c r="O19" s="189"/>
      <c r="P19" s="225"/>
      <c r="Q19" s="183"/>
      <c r="R19" s="137"/>
      <c r="S19" s="150"/>
      <c r="T19" s="114"/>
      <c r="U19" s="153"/>
      <c r="V19" s="124"/>
      <c r="W19" s="114"/>
      <c r="X19" s="109"/>
      <c r="Y19" s="127"/>
    </row>
    <row r="20" spans="1:25" ht="15.75">
      <c r="A20" s="271">
        <v>13</v>
      </c>
      <c r="B20" s="254" t="s">
        <v>499</v>
      </c>
      <c r="C20" s="272">
        <v>2008019</v>
      </c>
      <c r="D20" s="104">
        <v>41.34</v>
      </c>
      <c r="E20" s="106">
        <v>34.172542248999996</v>
      </c>
      <c r="F20" s="384">
        <v>34.172542248999996</v>
      </c>
      <c r="G20" s="273">
        <v>0</v>
      </c>
      <c r="H20" s="382">
        <v>0</v>
      </c>
      <c r="I20" s="258">
        <v>0</v>
      </c>
      <c r="J20" s="258">
        <v>0</v>
      </c>
      <c r="K20" s="274"/>
      <c r="L20" s="274"/>
      <c r="M20" s="274"/>
      <c r="N20" s="275"/>
      <c r="O20" s="275"/>
      <c r="P20" s="276"/>
      <c r="Q20" s="277"/>
      <c r="R20" s="278"/>
      <c r="S20" s="279"/>
      <c r="T20" s="280"/>
      <c r="U20" s="281"/>
      <c r="V20" s="282"/>
      <c r="W20" s="280"/>
      <c r="X20" s="283"/>
      <c r="Y20" s="284"/>
    </row>
    <row r="21" spans="1:25" ht="15.75">
      <c r="A21" s="263">
        <v>14</v>
      </c>
      <c r="B21" s="254" t="s">
        <v>500</v>
      </c>
      <c r="C21" s="254">
        <v>2007032</v>
      </c>
      <c r="D21" s="106">
        <v>212.44</v>
      </c>
      <c r="E21" s="106">
        <v>218.87353368463911</v>
      </c>
      <c r="F21" s="381">
        <v>218.87353368463911</v>
      </c>
      <c r="G21" s="65">
        <v>0</v>
      </c>
      <c r="H21" s="382">
        <v>0</v>
      </c>
      <c r="I21" s="258">
        <v>0</v>
      </c>
      <c r="J21" s="258">
        <v>0</v>
      </c>
      <c r="K21" s="192"/>
      <c r="L21" s="192"/>
      <c r="M21" s="192"/>
      <c r="N21" s="189"/>
      <c r="O21" s="189"/>
      <c r="P21" s="225"/>
      <c r="Q21" s="183"/>
      <c r="R21" s="137"/>
      <c r="S21" s="150"/>
      <c r="T21" s="114"/>
      <c r="U21" s="153"/>
      <c r="V21" s="124"/>
      <c r="W21" s="114"/>
      <c r="X21" s="109"/>
      <c r="Y21" s="127"/>
    </row>
    <row r="22" spans="1:25" ht="15.75">
      <c r="A22" s="271">
        <v>15</v>
      </c>
      <c r="B22" s="254" t="s">
        <v>501</v>
      </c>
      <c r="C22" s="272">
        <v>20090011</v>
      </c>
      <c r="D22" s="104">
        <v>20.260000000000002</v>
      </c>
      <c r="E22" s="106">
        <v>18.129676531000001</v>
      </c>
      <c r="F22" s="384">
        <v>18.129676531000001</v>
      </c>
      <c r="G22" s="273">
        <v>0</v>
      </c>
      <c r="H22" s="382">
        <v>0</v>
      </c>
      <c r="I22" s="258">
        <v>0</v>
      </c>
      <c r="J22" s="258">
        <v>0</v>
      </c>
      <c r="K22" s="274"/>
      <c r="L22" s="274"/>
      <c r="M22" s="274"/>
      <c r="N22" s="275"/>
      <c r="O22" s="275"/>
      <c r="P22" s="276"/>
      <c r="Q22" s="277"/>
      <c r="R22" s="278"/>
      <c r="S22" s="279"/>
      <c r="T22" s="280"/>
      <c r="U22" s="281"/>
      <c r="V22" s="282"/>
      <c r="W22" s="280"/>
      <c r="X22" s="283"/>
      <c r="Y22" s="284"/>
    </row>
    <row r="23" spans="1:25" ht="15.75">
      <c r="A23" s="271">
        <v>16</v>
      </c>
      <c r="B23" s="254" t="s">
        <v>60</v>
      </c>
      <c r="C23" s="272">
        <v>2006021</v>
      </c>
      <c r="D23" s="104">
        <v>28.97</v>
      </c>
      <c r="E23" s="106">
        <v>22.317139304000001</v>
      </c>
      <c r="F23" s="384">
        <v>22.317139304000001</v>
      </c>
      <c r="G23" s="273">
        <v>0</v>
      </c>
      <c r="H23" s="382">
        <v>0</v>
      </c>
      <c r="I23" s="258">
        <v>0</v>
      </c>
      <c r="J23" s="258">
        <v>0</v>
      </c>
      <c r="K23" s="274"/>
      <c r="L23" s="274"/>
      <c r="M23" s="274"/>
      <c r="N23" s="275"/>
      <c r="O23" s="275"/>
      <c r="P23" s="276"/>
      <c r="Q23" s="277"/>
      <c r="R23" s="278"/>
      <c r="S23" s="279"/>
      <c r="T23" s="280"/>
      <c r="U23" s="281"/>
      <c r="V23" s="282"/>
      <c r="W23" s="280"/>
      <c r="X23" s="283"/>
      <c r="Y23" s="284"/>
    </row>
    <row r="24" spans="1:25" ht="15.75">
      <c r="A24" s="271">
        <v>17</v>
      </c>
      <c r="B24" s="254" t="s">
        <v>502</v>
      </c>
      <c r="C24" s="272" t="s">
        <v>156</v>
      </c>
      <c r="D24" s="104">
        <v>40.070399999999999</v>
      </c>
      <c r="E24" s="106">
        <v>42.55</v>
      </c>
      <c r="F24" s="384">
        <v>42.551147134062504</v>
      </c>
      <c r="G24" s="384">
        <v>0</v>
      </c>
      <c r="H24" s="385">
        <v>0</v>
      </c>
      <c r="I24" s="258">
        <v>0</v>
      </c>
      <c r="J24" s="258">
        <v>0</v>
      </c>
      <c r="K24" s="274"/>
      <c r="L24" s="274"/>
      <c r="M24" s="274"/>
      <c r="N24" s="275"/>
      <c r="O24" s="275"/>
      <c r="P24" s="276"/>
      <c r="Q24" s="277"/>
      <c r="R24" s="278"/>
      <c r="S24" s="279"/>
      <c r="T24" s="280"/>
      <c r="U24" s="281"/>
      <c r="V24" s="282"/>
      <c r="W24" s="280"/>
      <c r="X24" s="283"/>
      <c r="Y24" s="284"/>
    </row>
    <row r="25" spans="1:25" ht="15.75">
      <c r="A25" s="263">
        <v>18</v>
      </c>
      <c r="B25" s="254" t="s">
        <v>503</v>
      </c>
      <c r="C25" s="254">
        <v>20070173</v>
      </c>
      <c r="D25" s="106">
        <v>39.4</v>
      </c>
      <c r="E25" s="106">
        <v>38.869999999999997</v>
      </c>
      <c r="F25" s="381">
        <v>38.878868852000011</v>
      </c>
      <c r="G25" s="65">
        <v>0</v>
      </c>
      <c r="H25" s="382">
        <v>0</v>
      </c>
      <c r="I25" s="258">
        <v>0</v>
      </c>
      <c r="J25" s="258">
        <v>0</v>
      </c>
      <c r="K25" s="192"/>
      <c r="L25" s="192"/>
      <c r="M25" s="192"/>
      <c r="N25" s="189"/>
      <c r="O25" s="189"/>
      <c r="P25" s="225"/>
      <c r="Q25" s="183"/>
      <c r="R25" s="137"/>
      <c r="S25" s="150"/>
      <c r="T25" s="114"/>
      <c r="U25" s="153"/>
      <c r="V25" s="124"/>
      <c r="W25" s="114"/>
      <c r="X25" s="109"/>
      <c r="Y25" s="127"/>
    </row>
    <row r="26" spans="1:25" ht="15.75">
      <c r="A26" s="263">
        <v>19</v>
      </c>
      <c r="B26" s="254" t="s">
        <v>504</v>
      </c>
      <c r="C26" s="254" t="s">
        <v>155</v>
      </c>
      <c r="D26" s="106">
        <v>332.65</v>
      </c>
      <c r="E26" s="106">
        <v>332.65</v>
      </c>
      <c r="F26" s="381">
        <v>311.70431809300004</v>
      </c>
      <c r="G26" s="65">
        <v>20.21</v>
      </c>
      <c r="H26" s="382">
        <v>17.97</v>
      </c>
      <c r="I26" s="258">
        <v>20.21</v>
      </c>
      <c r="J26" s="258">
        <v>0</v>
      </c>
      <c r="K26" s="192"/>
      <c r="L26" s="192"/>
      <c r="M26" s="192"/>
      <c r="N26" s="189"/>
      <c r="O26" s="189"/>
      <c r="P26" s="225"/>
      <c r="Q26" s="183"/>
      <c r="R26" s="137"/>
      <c r="S26" s="150"/>
      <c r="T26" s="114"/>
      <c r="U26" s="153"/>
      <c r="V26" s="124"/>
      <c r="W26" s="114"/>
      <c r="X26" s="109"/>
      <c r="Y26" s="127"/>
    </row>
    <row r="27" spans="1:25" ht="15.75">
      <c r="A27" s="271">
        <v>20</v>
      </c>
      <c r="B27" s="254" t="s">
        <v>505</v>
      </c>
      <c r="C27" s="272" t="s">
        <v>154</v>
      </c>
      <c r="D27" s="104">
        <v>29.26</v>
      </c>
      <c r="E27" s="106">
        <v>30.62</v>
      </c>
      <c r="F27" s="384">
        <v>29.040150941</v>
      </c>
      <c r="G27" s="273">
        <v>1.5534374379999998</v>
      </c>
      <c r="H27" s="382">
        <v>0</v>
      </c>
      <c r="I27" s="258">
        <v>1.58</v>
      </c>
      <c r="J27" s="258">
        <v>0</v>
      </c>
      <c r="K27" s="274"/>
      <c r="L27" s="274"/>
      <c r="M27" s="274"/>
      <c r="N27" s="275"/>
      <c r="O27" s="275"/>
      <c r="P27" s="276"/>
      <c r="Q27" s="277"/>
      <c r="R27" s="278"/>
      <c r="S27" s="279"/>
      <c r="T27" s="280"/>
      <c r="U27" s="281"/>
      <c r="V27" s="282"/>
      <c r="W27" s="280"/>
      <c r="X27" s="283"/>
      <c r="Y27" s="284"/>
    </row>
    <row r="28" spans="1:25" ht="15.75">
      <c r="A28" s="271">
        <v>21</v>
      </c>
      <c r="B28" s="254" t="s">
        <v>506</v>
      </c>
      <c r="C28" s="272" t="s">
        <v>157</v>
      </c>
      <c r="D28" s="104">
        <v>31.41</v>
      </c>
      <c r="E28" s="106">
        <v>31.51</v>
      </c>
      <c r="F28" s="384">
        <v>31.510622220183997</v>
      </c>
      <c r="G28" s="384">
        <v>1.1702443765936001</v>
      </c>
      <c r="H28" s="382">
        <v>0</v>
      </c>
      <c r="I28" s="258">
        <v>1.17</v>
      </c>
      <c r="J28" s="258">
        <v>0</v>
      </c>
      <c r="K28" s="274"/>
      <c r="L28" s="274"/>
      <c r="M28" s="274"/>
      <c r="N28" s="275"/>
      <c r="O28" s="275"/>
      <c r="P28" s="276"/>
      <c r="Q28" s="277"/>
      <c r="R28" s="278"/>
      <c r="S28" s="279"/>
      <c r="T28" s="280"/>
      <c r="U28" s="281"/>
      <c r="V28" s="282"/>
      <c r="W28" s="280"/>
      <c r="X28" s="283"/>
      <c r="Y28" s="284"/>
    </row>
    <row r="29" spans="1:25" ht="15.75">
      <c r="A29" s="271">
        <v>22</v>
      </c>
      <c r="B29" s="254" t="s">
        <v>469</v>
      </c>
      <c r="C29" s="272"/>
      <c r="D29" s="104">
        <v>350</v>
      </c>
      <c r="E29" s="108">
        <v>350</v>
      </c>
      <c r="F29" s="384">
        <v>349.82439594903701</v>
      </c>
      <c r="G29" s="273">
        <v>0.50706504899999993</v>
      </c>
      <c r="H29" s="382">
        <v>29.2</v>
      </c>
      <c r="I29" s="258">
        <v>0.51</v>
      </c>
      <c r="J29" s="262">
        <v>0</v>
      </c>
      <c r="K29" s="274"/>
      <c r="L29" s="274"/>
      <c r="M29" s="274"/>
      <c r="N29" s="275"/>
      <c r="O29" s="275"/>
      <c r="P29" s="276"/>
      <c r="Q29" s="277"/>
      <c r="R29" s="278"/>
      <c r="S29" s="279"/>
      <c r="T29" s="280"/>
      <c r="U29" s="281"/>
      <c r="V29" s="282"/>
      <c r="W29" s="280"/>
      <c r="X29" s="283"/>
      <c r="Y29" s="284"/>
    </row>
    <row r="30" spans="1:25">
      <c r="A30" s="286"/>
      <c r="B30" s="197" t="s">
        <v>71</v>
      </c>
      <c r="C30" s="287"/>
      <c r="D30" s="361" t="e">
        <f>#N/A</f>
        <v>#N/A</v>
      </c>
      <c r="E30" s="107" t="e">
        <f>#N/A</f>
        <v>#N/A</v>
      </c>
      <c r="F30" s="107" t="e">
        <f>#N/A</f>
        <v>#N/A</v>
      </c>
      <c r="G30" s="107" t="e">
        <f>#N/A</f>
        <v>#N/A</v>
      </c>
      <c r="H30" s="107" t="e">
        <f>#N/A</f>
        <v>#N/A</v>
      </c>
      <c r="I30" s="107" t="e">
        <f>#N/A</f>
        <v>#N/A</v>
      </c>
      <c r="J30" s="107" t="e">
        <f>#N/A</f>
        <v>#N/A</v>
      </c>
      <c r="K30" s="288"/>
      <c r="L30" s="288"/>
      <c r="M30" s="288"/>
      <c r="N30" s="289"/>
      <c r="O30" s="289"/>
      <c r="P30" s="290"/>
      <c r="Q30" s="291">
        <v>0</v>
      </c>
      <c r="R30" s="292" t="e">
        <v>#REF!</v>
      </c>
      <c r="S30" s="292" t="e">
        <v>#REF!</v>
      </c>
      <c r="T30" s="293">
        <v>0</v>
      </c>
      <c r="U30" s="294"/>
      <c r="V30" s="295">
        <v>-0.77950318928353468</v>
      </c>
      <c r="W30" s="293">
        <v>0</v>
      </c>
      <c r="X30" s="296"/>
      <c r="Y30" s="297"/>
    </row>
    <row r="31" spans="1:25">
      <c r="A31" s="216" t="s">
        <v>4</v>
      </c>
      <c r="B31" s="190" t="s">
        <v>470</v>
      </c>
      <c r="C31" s="190"/>
      <c r="D31" s="361"/>
      <c r="E31" s="362"/>
      <c r="F31" s="361"/>
      <c r="G31" s="361"/>
      <c r="H31" s="363"/>
      <c r="I31" s="362"/>
      <c r="J31" s="362"/>
      <c r="K31" s="288"/>
      <c r="L31" s="288"/>
      <c r="M31" s="288"/>
      <c r="N31" s="149"/>
      <c r="O31" s="149"/>
      <c r="P31" s="226"/>
      <c r="Q31" s="142"/>
      <c r="R31" s="133"/>
      <c r="S31" s="144" t="e">
        <v>#REF!</v>
      </c>
      <c r="T31" s="114">
        <v>0</v>
      </c>
      <c r="U31" s="109"/>
      <c r="V31" s="109"/>
      <c r="W31" s="109"/>
      <c r="X31" s="109"/>
      <c r="Y31" s="127"/>
    </row>
    <row r="32" spans="1:25" ht="15.75">
      <c r="A32" s="253"/>
      <c r="B32" s="254"/>
      <c r="C32" s="254"/>
      <c r="D32" s="381"/>
      <c r="E32" s="381"/>
      <c r="F32" s="381"/>
      <c r="G32" s="381">
        <v>0</v>
      </c>
      <c r="H32" s="385"/>
      <c r="I32" s="365"/>
      <c r="J32" s="366"/>
      <c r="K32" s="166"/>
      <c r="L32" s="166"/>
      <c r="M32" s="166"/>
      <c r="N32" s="167"/>
      <c r="O32" s="168"/>
      <c r="P32" s="227"/>
      <c r="Q32" s="221">
        <v>70.400000000000006</v>
      </c>
      <c r="R32" s="169" t="e">
        <v>#REF!</v>
      </c>
      <c r="S32" s="170" t="e">
        <v>#REF!</v>
      </c>
      <c r="T32" s="171">
        <v>0</v>
      </c>
      <c r="U32" s="171" t="e">
        <v>#REF!</v>
      </c>
      <c r="V32" s="172">
        <v>0</v>
      </c>
      <c r="W32" s="171">
        <v>0</v>
      </c>
      <c r="X32" s="173"/>
      <c r="Y32" s="127"/>
    </row>
    <row r="33" spans="1:25" ht="15.75">
      <c r="A33" s="253">
        <v>1</v>
      </c>
      <c r="B33" s="254" t="s">
        <v>59</v>
      </c>
      <c r="C33" s="254" t="s">
        <v>158</v>
      </c>
      <c r="D33" s="381">
        <v>70.650000000000006</v>
      </c>
      <c r="E33" s="381">
        <v>70.650000000000006</v>
      </c>
      <c r="F33" s="381">
        <v>52.714371398954754</v>
      </c>
      <c r="G33" s="381">
        <v>1.69</v>
      </c>
      <c r="H33" s="382">
        <v>10.83</v>
      </c>
      <c r="I33" s="258">
        <v>4.05</v>
      </c>
      <c r="J33" s="262">
        <v>0.3</v>
      </c>
      <c r="K33" s="192"/>
      <c r="L33" s="192"/>
      <c r="M33" s="192"/>
      <c r="N33" s="189"/>
      <c r="O33" s="138"/>
      <c r="P33" s="228"/>
      <c r="Q33" s="136" t="e">
        <v>#REF!</v>
      </c>
      <c r="R33" s="137" t="e">
        <v>#REF!</v>
      </c>
      <c r="S33" s="150" t="e">
        <v>#REF!</v>
      </c>
      <c r="T33" s="114">
        <v>0</v>
      </c>
      <c r="U33" s="153" t="e">
        <v>#REF!</v>
      </c>
      <c r="V33" s="124">
        <v>13.585628601045251</v>
      </c>
      <c r="W33" s="114">
        <v>0</v>
      </c>
      <c r="X33" s="109"/>
      <c r="Y33" s="127"/>
    </row>
    <row r="34" spans="1:25" ht="15.75">
      <c r="A34" s="253">
        <v>2</v>
      </c>
      <c r="B34" s="254" t="s">
        <v>507</v>
      </c>
      <c r="C34" s="318" t="s">
        <v>508</v>
      </c>
      <c r="D34" s="381">
        <v>19.899999999999999</v>
      </c>
      <c r="E34" s="381">
        <v>19.899999999999999</v>
      </c>
      <c r="F34" s="381">
        <v>6.1726957937306004</v>
      </c>
      <c r="G34" s="381">
        <v>0</v>
      </c>
      <c r="H34" s="382">
        <v>0</v>
      </c>
      <c r="I34" s="258">
        <v>1.32</v>
      </c>
      <c r="J34" s="262">
        <v>0.44</v>
      </c>
      <c r="K34" s="188"/>
      <c r="L34" s="188"/>
      <c r="M34" s="188"/>
      <c r="N34" s="189"/>
      <c r="O34" s="189"/>
      <c r="P34" s="229"/>
      <c r="Q34" s="183" t="e">
        <v>#REF!</v>
      </c>
      <c r="R34" s="133" t="e">
        <v>#REF!</v>
      </c>
      <c r="S34" s="150" t="e">
        <v>#REF!</v>
      </c>
      <c r="T34" s="174">
        <v>0</v>
      </c>
      <c r="U34" s="153" t="e">
        <v>#REF!</v>
      </c>
      <c r="V34" s="124">
        <v>11.967304206269398</v>
      </c>
      <c r="W34" s="114">
        <v>0</v>
      </c>
      <c r="X34" s="131"/>
      <c r="Y34" s="127"/>
    </row>
    <row r="35" spans="1:25" ht="15.75">
      <c r="A35" s="253">
        <v>3</v>
      </c>
      <c r="B35" s="254" t="s">
        <v>58</v>
      </c>
      <c r="C35" s="254" t="s">
        <v>159</v>
      </c>
      <c r="D35" s="381">
        <v>136.37</v>
      </c>
      <c r="E35" s="381">
        <v>136.37</v>
      </c>
      <c r="F35" s="381">
        <v>28.312611845000003</v>
      </c>
      <c r="G35" s="381">
        <v>1.67</v>
      </c>
      <c r="H35" s="382">
        <v>5.0999999999999996</v>
      </c>
      <c r="I35" s="258">
        <v>4.6400000000000006</v>
      </c>
      <c r="J35" s="262">
        <v>2.86</v>
      </c>
      <c r="K35" s="188"/>
      <c r="L35" s="188"/>
      <c r="M35" s="188"/>
      <c r="N35" s="189"/>
      <c r="O35" s="189"/>
      <c r="P35" s="229"/>
      <c r="Q35" s="183"/>
      <c r="R35" s="133"/>
      <c r="S35" s="150"/>
      <c r="T35" s="174"/>
      <c r="U35" s="153"/>
      <c r="V35" s="124"/>
      <c r="W35" s="114"/>
      <c r="X35" s="131"/>
      <c r="Y35" s="127"/>
    </row>
    <row r="36" spans="1:25" ht="33" customHeight="1">
      <c r="A36" s="253">
        <v>4</v>
      </c>
      <c r="B36" s="264" t="s">
        <v>509</v>
      </c>
      <c r="C36" s="265" t="s">
        <v>510</v>
      </c>
      <c r="D36" s="381">
        <v>588.15</v>
      </c>
      <c r="E36" s="381">
        <v>38.01</v>
      </c>
      <c r="F36" s="381">
        <v>10</v>
      </c>
      <c r="G36" s="381">
        <v>5.08</v>
      </c>
      <c r="H36" s="382">
        <v>0</v>
      </c>
      <c r="I36" s="258">
        <v>9</v>
      </c>
      <c r="J36" s="262">
        <v>4</v>
      </c>
      <c r="K36" s="188"/>
      <c r="L36" s="188"/>
      <c r="M36" s="188"/>
      <c r="N36" s="189"/>
      <c r="O36" s="189"/>
      <c r="P36" s="229"/>
      <c r="Q36" s="183"/>
      <c r="R36" s="133"/>
      <c r="S36" s="150"/>
      <c r="T36" s="174"/>
      <c r="U36" s="153"/>
      <c r="V36" s="124"/>
      <c r="W36" s="114"/>
      <c r="X36" s="131"/>
      <c r="Y36" s="127"/>
    </row>
    <row r="37" spans="1:25" ht="30.75" customHeight="1">
      <c r="A37" s="253">
        <v>5</v>
      </c>
      <c r="B37" s="266" t="s">
        <v>511</v>
      </c>
      <c r="C37" s="266" t="s">
        <v>512</v>
      </c>
      <c r="D37" s="381">
        <v>0</v>
      </c>
      <c r="E37" s="381">
        <v>9.49</v>
      </c>
      <c r="F37" s="381">
        <v>6</v>
      </c>
      <c r="G37" s="381">
        <v>0</v>
      </c>
      <c r="H37" s="382">
        <v>0</v>
      </c>
      <c r="I37" s="258">
        <v>0</v>
      </c>
      <c r="J37" s="262">
        <v>0</v>
      </c>
      <c r="K37" s="188"/>
      <c r="L37" s="188"/>
      <c r="M37" s="188"/>
      <c r="N37" s="189"/>
      <c r="O37" s="189"/>
      <c r="P37" s="229"/>
      <c r="Q37" s="183"/>
      <c r="R37" s="133"/>
      <c r="S37" s="150"/>
      <c r="T37" s="174"/>
      <c r="U37" s="153"/>
      <c r="V37" s="124"/>
      <c r="W37" s="114"/>
      <c r="X37" s="131"/>
      <c r="Y37" s="127"/>
    </row>
    <row r="38" spans="1:25" ht="32.25" customHeight="1">
      <c r="A38" s="253">
        <v>6</v>
      </c>
      <c r="B38" s="266" t="s">
        <v>513</v>
      </c>
      <c r="C38" s="266" t="s">
        <v>514</v>
      </c>
      <c r="D38" s="381">
        <v>0</v>
      </c>
      <c r="E38" s="367">
        <v>298.2</v>
      </c>
      <c r="F38" s="381">
        <v>15.6</v>
      </c>
      <c r="G38" s="381">
        <v>21</v>
      </c>
      <c r="H38" s="382">
        <v>182</v>
      </c>
      <c r="I38" s="258">
        <v>117.8</v>
      </c>
      <c r="J38" s="262">
        <v>127</v>
      </c>
      <c r="K38" s="188"/>
      <c r="L38" s="188"/>
      <c r="M38" s="188"/>
      <c r="N38" s="189"/>
      <c r="O38" s="189"/>
      <c r="P38" s="229"/>
      <c r="Q38" s="183"/>
      <c r="R38" s="133"/>
      <c r="S38" s="150"/>
      <c r="T38" s="174"/>
      <c r="U38" s="153"/>
      <c r="V38" s="124"/>
      <c r="W38" s="114"/>
      <c r="X38" s="131"/>
      <c r="Y38" s="127"/>
    </row>
    <row r="39" spans="1:25" ht="28.5" customHeight="1">
      <c r="A39" s="253">
        <v>7</v>
      </c>
      <c r="B39" s="266" t="s">
        <v>515</v>
      </c>
      <c r="C39" s="266" t="s">
        <v>516</v>
      </c>
      <c r="D39" s="381">
        <v>0</v>
      </c>
      <c r="E39" s="367">
        <v>85.84</v>
      </c>
      <c r="F39" s="381">
        <v>0</v>
      </c>
      <c r="G39" s="381">
        <v>8.7100000000000009</v>
      </c>
      <c r="H39" s="382">
        <v>0</v>
      </c>
      <c r="I39" s="258">
        <v>26.5</v>
      </c>
      <c r="J39" s="262">
        <v>40</v>
      </c>
      <c r="K39" s="188"/>
      <c r="L39" s="188"/>
      <c r="M39" s="188"/>
      <c r="N39" s="189"/>
      <c r="O39" s="189"/>
      <c r="P39" s="229"/>
      <c r="Q39" s="183"/>
      <c r="R39" s="133"/>
      <c r="S39" s="150"/>
      <c r="T39" s="174"/>
      <c r="U39" s="153"/>
      <c r="V39" s="124"/>
      <c r="W39" s="114"/>
      <c r="X39" s="131"/>
      <c r="Y39" s="127"/>
    </row>
    <row r="40" spans="1:25" ht="32.25" customHeight="1">
      <c r="A40" s="253">
        <v>8</v>
      </c>
      <c r="B40" s="266" t="s">
        <v>517</v>
      </c>
      <c r="C40" s="266" t="s">
        <v>518</v>
      </c>
      <c r="D40" s="381">
        <v>0</v>
      </c>
      <c r="E40" s="367">
        <v>40.89</v>
      </c>
      <c r="F40" s="381">
        <v>0</v>
      </c>
      <c r="G40" s="381">
        <v>4.1013776340000003</v>
      </c>
      <c r="H40" s="382">
        <v>0</v>
      </c>
      <c r="I40" s="258">
        <v>26.5</v>
      </c>
      <c r="J40" s="262">
        <v>14</v>
      </c>
      <c r="K40" s="188"/>
      <c r="L40" s="188"/>
      <c r="M40" s="188"/>
      <c r="N40" s="189"/>
      <c r="O40" s="189"/>
      <c r="P40" s="229"/>
      <c r="Q40" s="183"/>
      <c r="R40" s="133"/>
      <c r="S40" s="150"/>
      <c r="T40" s="174"/>
      <c r="U40" s="153"/>
      <c r="V40" s="124"/>
      <c r="W40" s="114"/>
      <c r="X40" s="131"/>
      <c r="Y40" s="127"/>
    </row>
    <row r="41" spans="1:25" ht="20.25" customHeight="1">
      <c r="A41" s="253">
        <v>9</v>
      </c>
      <c r="B41" s="266" t="s">
        <v>519</v>
      </c>
      <c r="C41" s="254"/>
      <c r="D41" s="381">
        <v>0</v>
      </c>
      <c r="E41" s="381">
        <v>116</v>
      </c>
      <c r="F41" s="381">
        <v>0</v>
      </c>
      <c r="G41" s="381">
        <v>0</v>
      </c>
      <c r="H41" s="382">
        <v>0</v>
      </c>
      <c r="I41" s="258"/>
      <c r="J41" s="262">
        <v>15</v>
      </c>
      <c r="K41" s="188"/>
      <c r="L41" s="188"/>
      <c r="M41" s="188"/>
      <c r="N41" s="189"/>
      <c r="O41" s="189"/>
      <c r="P41" s="229"/>
      <c r="Q41" s="183"/>
      <c r="R41" s="133"/>
      <c r="S41" s="150"/>
      <c r="T41" s="174"/>
      <c r="U41" s="153"/>
      <c r="V41" s="124"/>
      <c r="W41" s="114"/>
      <c r="X41" s="131"/>
      <c r="Y41" s="127"/>
    </row>
    <row r="42" spans="1:25" ht="15.75">
      <c r="A42" s="253">
        <v>10</v>
      </c>
      <c r="B42" s="254" t="s">
        <v>57</v>
      </c>
      <c r="C42" s="254" t="s">
        <v>160</v>
      </c>
      <c r="D42" s="381">
        <v>21.68</v>
      </c>
      <c r="E42" s="381">
        <v>21.68</v>
      </c>
      <c r="F42" s="381">
        <v>17.715419781000001</v>
      </c>
      <c r="G42" s="381">
        <v>0.11087156700000002</v>
      </c>
      <c r="H42" s="382">
        <v>3.14</v>
      </c>
      <c r="I42" s="258">
        <v>3.33</v>
      </c>
      <c r="J42" s="262">
        <v>0.46</v>
      </c>
      <c r="K42" s="188"/>
      <c r="L42" s="188"/>
      <c r="M42" s="188"/>
      <c r="N42" s="189"/>
      <c r="O42" s="189"/>
      <c r="P42" s="229"/>
      <c r="Q42" s="183"/>
      <c r="R42" s="133"/>
      <c r="S42" s="150"/>
      <c r="T42" s="174"/>
      <c r="U42" s="153"/>
      <c r="V42" s="124"/>
      <c r="W42" s="114"/>
      <c r="X42" s="131"/>
      <c r="Y42" s="127"/>
    </row>
    <row r="43" spans="1:25" ht="15.75">
      <c r="A43" s="253">
        <v>11</v>
      </c>
      <c r="B43" s="254" t="s">
        <v>520</v>
      </c>
      <c r="C43" s="254" t="s">
        <v>521</v>
      </c>
      <c r="D43" s="381">
        <v>5.5419999999999989</v>
      </c>
      <c r="E43" s="381">
        <v>5.5419999999999989</v>
      </c>
      <c r="F43" s="381">
        <v>4.5156089129999994</v>
      </c>
      <c r="G43" s="381">
        <v>0.18247820000000001</v>
      </c>
      <c r="H43" s="382">
        <v>0</v>
      </c>
      <c r="I43" s="258">
        <v>0.26</v>
      </c>
      <c r="J43" s="262">
        <v>0.39</v>
      </c>
      <c r="K43" s="188"/>
      <c r="L43" s="188"/>
      <c r="M43" s="188"/>
      <c r="N43" s="189"/>
      <c r="O43" s="189"/>
      <c r="P43" s="229"/>
      <c r="Q43" s="183"/>
      <c r="R43" s="133"/>
      <c r="S43" s="150"/>
      <c r="T43" s="174"/>
      <c r="U43" s="153"/>
      <c r="V43" s="124"/>
      <c r="W43" s="114"/>
      <c r="X43" s="131"/>
      <c r="Y43" s="127"/>
    </row>
    <row r="44" spans="1:25" ht="15.75">
      <c r="A44" s="298">
        <v>12</v>
      </c>
      <c r="B44" s="254" t="s">
        <v>522</v>
      </c>
      <c r="C44" s="272" t="s">
        <v>523</v>
      </c>
      <c r="D44" s="384">
        <v>3.28</v>
      </c>
      <c r="E44" s="381">
        <v>0</v>
      </c>
      <c r="F44" s="384">
        <v>0.56651309999999999</v>
      </c>
      <c r="G44" s="384">
        <v>0</v>
      </c>
      <c r="H44" s="382">
        <v>0</v>
      </c>
      <c r="I44" s="258">
        <v>0</v>
      </c>
      <c r="J44" s="262">
        <v>0</v>
      </c>
      <c r="K44" s="285"/>
      <c r="L44" s="285"/>
      <c r="M44" s="285"/>
      <c r="N44" s="275"/>
      <c r="O44" s="275"/>
      <c r="P44" s="299"/>
      <c r="Q44" s="277"/>
      <c r="R44" s="300"/>
      <c r="S44" s="279"/>
      <c r="T44" s="301"/>
      <c r="U44" s="281"/>
      <c r="V44" s="282"/>
      <c r="W44" s="280"/>
      <c r="X44" s="302"/>
      <c r="Y44" s="284"/>
    </row>
    <row r="45" spans="1:25" ht="15.75">
      <c r="A45" s="298">
        <v>13</v>
      </c>
      <c r="B45" s="254" t="s">
        <v>524</v>
      </c>
      <c r="C45" s="272" t="s">
        <v>525</v>
      </c>
      <c r="D45" s="384">
        <v>0.55000000000000004</v>
      </c>
      <c r="E45" s="381">
        <v>0</v>
      </c>
      <c r="F45" s="384">
        <v>0.54016780000000009</v>
      </c>
      <c r="G45" s="384">
        <v>0</v>
      </c>
      <c r="H45" s="382">
        <v>0</v>
      </c>
      <c r="I45" s="258">
        <v>0</v>
      </c>
      <c r="J45" s="262">
        <v>0</v>
      </c>
      <c r="K45" s="285"/>
      <c r="L45" s="285"/>
      <c r="M45" s="285"/>
      <c r="N45" s="275"/>
      <c r="O45" s="275"/>
      <c r="P45" s="299"/>
      <c r="Q45" s="277"/>
      <c r="R45" s="300"/>
      <c r="S45" s="279"/>
      <c r="T45" s="301"/>
      <c r="U45" s="281"/>
      <c r="V45" s="282"/>
      <c r="W45" s="280"/>
      <c r="X45" s="302"/>
      <c r="Y45" s="284"/>
    </row>
    <row r="46" spans="1:25" ht="15.75">
      <c r="A46" s="253">
        <v>14</v>
      </c>
      <c r="B46" s="254" t="s">
        <v>526</v>
      </c>
      <c r="C46" s="254" t="s">
        <v>527</v>
      </c>
      <c r="D46" s="381">
        <v>10.787799999999999</v>
      </c>
      <c r="E46" s="381">
        <v>10.787799999999999</v>
      </c>
      <c r="F46" s="381">
        <v>5.8502154099999997</v>
      </c>
      <c r="G46" s="381">
        <v>0.87191758899999994</v>
      </c>
      <c r="H46" s="382">
        <v>0</v>
      </c>
      <c r="I46" s="258">
        <v>1</v>
      </c>
      <c r="J46" s="262">
        <v>0</v>
      </c>
      <c r="K46" s="188"/>
      <c r="L46" s="188"/>
      <c r="M46" s="188"/>
      <c r="N46" s="189"/>
      <c r="O46" s="189"/>
      <c r="P46" s="229"/>
      <c r="Q46" s="183"/>
      <c r="R46" s="133"/>
      <c r="S46" s="150"/>
      <c r="T46" s="174"/>
      <c r="U46" s="153"/>
      <c r="V46" s="124"/>
      <c r="W46" s="114"/>
      <c r="X46" s="131"/>
      <c r="Y46" s="127"/>
    </row>
    <row r="47" spans="1:25" ht="15.75">
      <c r="A47" s="253">
        <v>15</v>
      </c>
      <c r="B47" s="254" t="s">
        <v>528</v>
      </c>
      <c r="C47" s="254" t="s">
        <v>161</v>
      </c>
      <c r="D47" s="381">
        <v>46.58</v>
      </c>
      <c r="E47" s="381">
        <v>46.58</v>
      </c>
      <c r="F47" s="381">
        <v>25.415213082000001</v>
      </c>
      <c r="G47" s="381">
        <v>5.5008618219999992</v>
      </c>
      <c r="H47" s="382">
        <v>16</v>
      </c>
      <c r="I47" s="258">
        <v>16.079999999999998</v>
      </c>
      <c r="J47" s="262">
        <v>2.91</v>
      </c>
      <c r="K47" s="188"/>
      <c r="L47" s="188"/>
      <c r="M47" s="188"/>
      <c r="N47" s="189"/>
      <c r="O47" s="189"/>
      <c r="P47" s="229"/>
      <c r="Q47" s="183"/>
      <c r="R47" s="133"/>
      <c r="S47" s="150"/>
      <c r="T47" s="174"/>
      <c r="U47" s="153"/>
      <c r="V47" s="124"/>
      <c r="W47" s="114"/>
      <c r="X47" s="131"/>
      <c r="Y47" s="127"/>
    </row>
    <row r="48" spans="1:25" ht="15.75">
      <c r="A48" s="298">
        <v>16</v>
      </c>
      <c r="B48" s="254" t="s">
        <v>529</v>
      </c>
      <c r="C48" s="272" t="s">
        <v>530</v>
      </c>
      <c r="D48" s="384">
        <v>10.57</v>
      </c>
      <c r="E48" s="381">
        <v>10.57</v>
      </c>
      <c r="F48" s="384">
        <v>2.5751269570000002</v>
      </c>
      <c r="G48" s="384">
        <v>4.55</v>
      </c>
      <c r="H48" s="382">
        <v>0</v>
      </c>
      <c r="I48" s="258">
        <v>6.99</v>
      </c>
      <c r="J48" s="262">
        <v>1.31</v>
      </c>
      <c r="K48" s="285"/>
      <c r="L48" s="285"/>
      <c r="M48" s="285"/>
      <c r="N48" s="275"/>
      <c r="O48" s="275"/>
      <c r="P48" s="299"/>
      <c r="Q48" s="277"/>
      <c r="R48" s="300"/>
      <c r="S48" s="279"/>
      <c r="T48" s="301"/>
      <c r="U48" s="281"/>
      <c r="V48" s="282"/>
      <c r="W48" s="280"/>
      <c r="X48" s="302"/>
      <c r="Y48" s="284"/>
    </row>
    <row r="49" spans="1:27" ht="15.75">
      <c r="A49" s="298">
        <v>17</v>
      </c>
      <c r="B49" s="339" t="s">
        <v>84</v>
      </c>
      <c r="C49" s="272" t="s">
        <v>250</v>
      </c>
      <c r="D49" s="384">
        <v>42.2</v>
      </c>
      <c r="E49" s="381">
        <v>42</v>
      </c>
      <c r="F49" s="384">
        <v>38.824608635999994</v>
      </c>
      <c r="G49" s="384">
        <v>2.6288733999999998</v>
      </c>
      <c r="H49" s="382">
        <v>12</v>
      </c>
      <c r="I49" s="258">
        <v>4.74</v>
      </c>
      <c r="J49" s="262">
        <v>0.87</v>
      </c>
      <c r="K49" s="285"/>
      <c r="L49" s="285"/>
      <c r="M49" s="285"/>
      <c r="N49" s="275"/>
      <c r="O49" s="275"/>
      <c r="P49" s="299"/>
      <c r="Q49" s="277"/>
      <c r="R49" s="300"/>
      <c r="S49" s="279"/>
      <c r="T49" s="301"/>
      <c r="U49" s="281"/>
      <c r="V49" s="282"/>
      <c r="W49" s="280"/>
      <c r="X49" s="302"/>
      <c r="Y49" s="284"/>
      <c r="Z49" s="302"/>
      <c r="AA49" s="302"/>
    </row>
    <row r="50" spans="1:27" ht="15.75">
      <c r="A50" s="253">
        <v>18</v>
      </c>
      <c r="B50" s="254" t="s">
        <v>531</v>
      </c>
      <c r="C50" s="267" t="s">
        <v>532</v>
      </c>
      <c r="D50" s="381">
        <v>14.21</v>
      </c>
      <c r="E50" s="381">
        <v>14.21</v>
      </c>
      <c r="F50" s="381">
        <v>2.5245502540000002</v>
      </c>
      <c r="G50" s="381">
        <v>2.61</v>
      </c>
      <c r="H50" s="382">
        <v>0</v>
      </c>
      <c r="I50" s="258">
        <v>4</v>
      </c>
      <c r="J50" s="262">
        <v>2.8</v>
      </c>
      <c r="K50" s="188"/>
      <c r="L50" s="188"/>
      <c r="M50" s="188"/>
      <c r="N50" s="189"/>
      <c r="O50" s="189"/>
      <c r="P50" s="229"/>
      <c r="Q50" s="183"/>
      <c r="R50" s="133"/>
      <c r="S50" s="150"/>
      <c r="T50" s="174"/>
      <c r="U50" s="153"/>
      <c r="V50" s="124"/>
      <c r="W50" s="114"/>
      <c r="X50" s="131"/>
      <c r="Y50" s="127"/>
      <c r="Z50" s="131"/>
      <c r="AA50" s="131"/>
    </row>
    <row r="51" spans="1:27" ht="25.5">
      <c r="A51" s="253">
        <v>19</v>
      </c>
      <c r="B51" s="268" t="s">
        <v>251</v>
      </c>
      <c r="C51" s="269" t="s">
        <v>533</v>
      </c>
      <c r="D51" s="381">
        <v>68</v>
      </c>
      <c r="E51" s="381">
        <v>68</v>
      </c>
      <c r="F51" s="381">
        <v>0</v>
      </c>
      <c r="G51" s="381">
        <v>1.551583712</v>
      </c>
      <c r="H51" s="382">
        <v>35</v>
      </c>
      <c r="I51" s="258">
        <v>32</v>
      </c>
      <c r="J51" s="262">
        <v>0</v>
      </c>
      <c r="K51" s="188"/>
      <c r="L51" s="188"/>
      <c r="M51" s="188"/>
      <c r="N51" s="189"/>
      <c r="O51" s="189"/>
      <c r="P51" s="229"/>
      <c r="Q51" s="183"/>
      <c r="R51" s="133"/>
      <c r="S51" s="150"/>
      <c r="T51" s="174"/>
      <c r="U51" s="153"/>
      <c r="V51" s="124"/>
      <c r="W51" s="114"/>
      <c r="X51" s="131"/>
      <c r="Y51" s="127"/>
      <c r="Z51" s="131"/>
      <c r="AA51" s="131"/>
    </row>
    <row r="52" spans="1:27" ht="15.75">
      <c r="A52" s="253">
        <v>20</v>
      </c>
      <c r="B52" s="254" t="s">
        <v>534</v>
      </c>
      <c r="C52" s="254">
        <v>2009999</v>
      </c>
      <c r="D52" s="725">
        <v>2200</v>
      </c>
      <c r="E52" s="728">
        <v>2200</v>
      </c>
      <c r="F52" s="381">
        <v>1500.5128452712368</v>
      </c>
      <c r="G52" s="381">
        <v>78.34</v>
      </c>
      <c r="H52" s="386">
        <v>170</v>
      </c>
      <c r="I52" s="258">
        <v>174.69</v>
      </c>
      <c r="J52" s="262">
        <v>200</v>
      </c>
      <c r="K52" s="188"/>
      <c r="L52" s="188"/>
      <c r="M52" s="188"/>
      <c r="N52" s="189"/>
      <c r="O52" s="189"/>
      <c r="P52" s="229"/>
      <c r="Q52" s="183"/>
      <c r="R52" s="133"/>
      <c r="S52" s="150"/>
      <c r="T52" s="174"/>
      <c r="U52" s="153"/>
      <c r="V52" s="124"/>
      <c r="W52" s="114"/>
      <c r="X52" s="131"/>
      <c r="Y52" s="127"/>
      <c r="Z52" s="131"/>
      <c r="AA52" s="131"/>
    </row>
    <row r="53" spans="1:27" ht="15.75">
      <c r="A53" s="298">
        <v>21</v>
      </c>
      <c r="B53" s="254" t="s">
        <v>535</v>
      </c>
      <c r="C53" s="272" t="s">
        <v>536</v>
      </c>
      <c r="D53" s="726"/>
      <c r="E53" s="729"/>
      <c r="F53" s="384">
        <v>158.57596922299999</v>
      </c>
      <c r="G53" s="384">
        <v>1.71</v>
      </c>
      <c r="H53" s="386">
        <v>0</v>
      </c>
      <c r="I53" s="258">
        <v>2</v>
      </c>
      <c r="J53" s="262">
        <v>0</v>
      </c>
      <c r="K53" s="285"/>
      <c r="L53" s="285"/>
      <c r="M53" s="285"/>
      <c r="N53" s="275"/>
      <c r="O53" s="275"/>
      <c r="P53" s="299"/>
      <c r="Q53" s="277"/>
      <c r="R53" s="300"/>
      <c r="S53" s="279"/>
      <c r="T53" s="301"/>
      <c r="U53" s="281"/>
      <c r="V53" s="282"/>
      <c r="W53" s="280"/>
      <c r="X53" s="302"/>
      <c r="Y53" s="284"/>
      <c r="Z53" s="302"/>
      <c r="AA53" s="302"/>
    </row>
    <row r="54" spans="1:27" ht="15.75">
      <c r="A54" s="253">
        <v>22</v>
      </c>
      <c r="B54" s="254" t="s">
        <v>537</v>
      </c>
      <c r="C54" s="254" t="s">
        <v>538</v>
      </c>
      <c r="D54" s="727"/>
      <c r="E54" s="730"/>
      <c r="F54" s="381">
        <v>9.36</v>
      </c>
      <c r="G54" s="381">
        <v>0</v>
      </c>
      <c r="H54" s="386">
        <v>0</v>
      </c>
      <c r="I54" s="381">
        <v>0</v>
      </c>
      <c r="J54" s="381">
        <v>0</v>
      </c>
      <c r="K54" s="188"/>
      <c r="L54" s="188"/>
      <c r="M54" s="188"/>
      <c r="N54" s="189"/>
      <c r="O54" s="189"/>
      <c r="P54" s="229"/>
      <c r="Q54" s="183"/>
      <c r="R54" s="133"/>
      <c r="S54" s="150"/>
      <c r="T54" s="174"/>
      <c r="U54" s="153"/>
      <c r="V54" s="124"/>
      <c r="W54" s="114"/>
      <c r="X54" s="131"/>
      <c r="Y54" s="127"/>
      <c r="Z54" s="131"/>
      <c r="AA54" s="131"/>
    </row>
    <row r="55" spans="1:27" ht="15.75">
      <c r="A55" s="253">
        <v>23</v>
      </c>
      <c r="B55" s="254" t="s">
        <v>249</v>
      </c>
      <c r="C55" s="254"/>
      <c r="D55" s="387"/>
      <c r="E55" s="381"/>
      <c r="F55" s="381">
        <v>96</v>
      </c>
      <c r="G55" s="381">
        <v>0</v>
      </c>
      <c r="H55" s="386">
        <v>0</v>
      </c>
      <c r="I55" s="381">
        <v>0</v>
      </c>
      <c r="J55" s="381">
        <v>0</v>
      </c>
      <c r="K55" s="188"/>
      <c r="L55" s="188"/>
      <c r="M55" s="188"/>
      <c r="N55" s="189"/>
      <c r="O55" s="189"/>
      <c r="P55" s="229"/>
      <c r="Q55" s="183"/>
      <c r="R55" s="133"/>
      <c r="S55" s="150"/>
      <c r="T55" s="174"/>
      <c r="U55" s="153"/>
      <c r="V55" s="124"/>
      <c r="W55" s="114"/>
      <c r="X55" s="131"/>
      <c r="Y55" s="127"/>
      <c r="Z55" s="131"/>
      <c r="AA55" s="131"/>
    </row>
    <row r="56" spans="1:27" ht="15.75">
      <c r="A56" s="298">
        <v>24</v>
      </c>
      <c r="B56" s="254" t="s">
        <v>469</v>
      </c>
      <c r="C56" s="272"/>
      <c r="D56" s="384">
        <v>474</v>
      </c>
      <c r="E56" s="381">
        <v>474</v>
      </c>
      <c r="F56" s="384">
        <v>437.12997873564802</v>
      </c>
      <c r="G56" s="273">
        <v>14.13</v>
      </c>
      <c r="H56" s="382">
        <v>43</v>
      </c>
      <c r="I56" s="65">
        <v>40</v>
      </c>
      <c r="J56" s="262">
        <v>0</v>
      </c>
      <c r="K56" s="285"/>
      <c r="L56" s="285"/>
      <c r="M56" s="285"/>
      <c r="N56" s="275"/>
      <c r="O56" s="275"/>
      <c r="P56" s="299"/>
      <c r="Q56" s="277"/>
      <c r="R56" s="300"/>
      <c r="S56" s="279"/>
      <c r="T56" s="301"/>
      <c r="U56" s="281"/>
      <c r="V56" s="282"/>
      <c r="W56" s="280"/>
      <c r="X56" s="302"/>
      <c r="Y56" s="284"/>
      <c r="Z56" s="302"/>
      <c r="AA56" s="302"/>
    </row>
    <row r="57" spans="1:27" ht="15.75">
      <c r="A57" s="303"/>
      <c r="B57" s="340" t="s">
        <v>144</v>
      </c>
      <c r="C57" s="272"/>
      <c r="D57" s="388">
        <v>19857.338749120005</v>
      </c>
      <c r="E57" s="389">
        <v>23347.946879789495</v>
      </c>
      <c r="F57" s="388">
        <v>20866.987016130141</v>
      </c>
      <c r="G57" s="388">
        <v>544.95268347631838</v>
      </c>
      <c r="H57" s="390">
        <v>712.09559905469996</v>
      </c>
      <c r="I57" s="389">
        <v>956.99599999999941</v>
      </c>
      <c r="J57" s="389">
        <v>219.34499999999997</v>
      </c>
      <c r="K57" s="285"/>
      <c r="L57" s="285"/>
      <c r="M57" s="285"/>
      <c r="N57" s="275"/>
      <c r="O57" s="275"/>
      <c r="P57" s="299"/>
      <c r="Q57" s="277"/>
      <c r="R57" s="300"/>
      <c r="S57" s="279"/>
      <c r="T57" s="301"/>
      <c r="U57" s="281"/>
      <c r="V57" s="282"/>
      <c r="W57" s="280"/>
      <c r="X57" s="302"/>
      <c r="Y57" s="284"/>
      <c r="Z57" s="302"/>
      <c r="AA57" s="302"/>
    </row>
    <row r="58" spans="1:27">
      <c r="A58" s="217" t="s">
        <v>29</v>
      </c>
      <c r="B58" s="158" t="s">
        <v>72</v>
      </c>
      <c r="C58" s="158"/>
      <c r="D58" s="362">
        <v>23569.808549120004</v>
      </c>
      <c r="E58" s="362">
        <v>27056.666679789494</v>
      </c>
      <c r="F58" s="362">
        <v>23285.89291233071</v>
      </c>
      <c r="G58" s="362">
        <v>699.39064740031836</v>
      </c>
      <c r="H58" s="363">
        <v>1189.1655990546999</v>
      </c>
      <c r="I58" s="362">
        <v>1431.8959999999995</v>
      </c>
      <c r="J58" s="362">
        <v>631.68499999999995</v>
      </c>
      <c r="K58" s="139"/>
      <c r="L58" s="139"/>
      <c r="M58" s="139"/>
      <c r="N58" s="149"/>
      <c r="O58" s="149"/>
      <c r="P58" s="226"/>
      <c r="Q58" s="182" t="e">
        <v>#REF!</v>
      </c>
      <c r="R58" s="139" t="e">
        <v>#REF!</v>
      </c>
      <c r="S58" s="150" t="e">
        <v>#REF!</v>
      </c>
      <c r="T58" s="114">
        <v>0</v>
      </c>
      <c r="U58" s="109"/>
      <c r="V58" s="109"/>
      <c r="W58" s="109"/>
      <c r="X58" s="109"/>
      <c r="Y58" s="127"/>
      <c r="Z58" s="109"/>
      <c r="AA58" s="109"/>
    </row>
    <row r="59" spans="1:27">
      <c r="A59" s="216"/>
      <c r="B59" s="158" t="s">
        <v>73</v>
      </c>
      <c r="C59" s="158"/>
      <c r="D59" s="362">
        <v>26194.728388920004</v>
      </c>
      <c r="E59" s="362">
        <v>29610.051292954267</v>
      </c>
      <c r="F59" s="362">
        <v>25816.587028684768</v>
      </c>
      <c r="G59" s="362">
        <v>722.83139426391199</v>
      </c>
      <c r="H59" s="363">
        <v>1236.3355990547</v>
      </c>
      <c r="I59" s="362">
        <v>1455.3659999999995</v>
      </c>
      <c r="J59" s="362">
        <v>631.68499999999995</v>
      </c>
      <c r="K59" s="139"/>
      <c r="L59" s="139"/>
      <c r="M59" s="139"/>
      <c r="N59" s="149"/>
      <c r="O59" s="149"/>
      <c r="P59" s="226"/>
      <c r="Q59" s="182" t="e">
        <v>#REF!</v>
      </c>
      <c r="R59" s="139" t="e">
        <v>#REF!</v>
      </c>
      <c r="S59" s="150" t="e">
        <v>#REF!</v>
      </c>
      <c r="T59" s="125">
        <v>0</v>
      </c>
      <c r="U59" s="159"/>
      <c r="V59" s="145"/>
      <c r="W59" s="145"/>
      <c r="X59" s="145"/>
      <c r="Y59" s="127"/>
      <c r="Z59" s="145"/>
      <c r="AA59" s="145"/>
    </row>
    <row r="60" spans="1:27">
      <c r="A60" s="216"/>
      <c r="B60" s="158"/>
      <c r="C60" s="158"/>
      <c r="D60" s="362"/>
      <c r="E60" s="362"/>
      <c r="F60" s="362"/>
      <c r="G60" s="362"/>
      <c r="H60" s="363"/>
      <c r="I60" s="362"/>
      <c r="J60" s="362"/>
      <c r="K60" s="139"/>
      <c r="L60" s="139"/>
      <c r="M60" s="139"/>
      <c r="N60" s="149"/>
      <c r="O60" s="149"/>
      <c r="P60" s="226"/>
      <c r="Q60" s="143"/>
      <c r="R60" s="143"/>
      <c r="S60" s="150"/>
      <c r="T60" s="113"/>
      <c r="U60" s="196"/>
      <c r="V60" s="128"/>
      <c r="W60" s="128"/>
      <c r="X60" s="128"/>
      <c r="Y60" s="127"/>
      <c r="Z60" s="128"/>
      <c r="AA60" s="128"/>
    </row>
    <row r="61" spans="1:27">
      <c r="A61" s="230" t="s">
        <v>2</v>
      </c>
      <c r="B61" s="187" t="s">
        <v>471</v>
      </c>
      <c r="C61" s="187"/>
      <c r="D61" s="368"/>
      <c r="E61" s="368"/>
      <c r="F61" s="368"/>
      <c r="G61" s="369"/>
      <c r="H61" s="391"/>
      <c r="I61" s="368"/>
      <c r="J61" s="368"/>
      <c r="K61" s="116"/>
      <c r="L61" s="116"/>
      <c r="M61" s="116"/>
      <c r="N61" s="116"/>
      <c r="O61" s="117"/>
      <c r="P61" s="231"/>
      <c r="Q61" s="112"/>
      <c r="R61" s="111"/>
      <c r="S61" s="115" t="e">
        <v>#REF!</v>
      </c>
      <c r="T61" s="110"/>
      <c r="U61" s="110"/>
      <c r="V61" s="110"/>
      <c r="W61" s="112"/>
      <c r="X61" s="112"/>
      <c r="Y61" s="127"/>
      <c r="Z61" s="112"/>
      <c r="AA61" s="112"/>
    </row>
    <row r="62" spans="1:27">
      <c r="A62" s="353">
        <v>1</v>
      </c>
      <c r="B62" s="149" t="s">
        <v>75</v>
      </c>
      <c r="C62" s="289"/>
      <c r="D62" s="274"/>
      <c r="E62" s="192">
        <v>822</v>
      </c>
      <c r="F62" s="392">
        <v>384.26</v>
      </c>
      <c r="G62" s="273">
        <v>187.27</v>
      </c>
      <c r="H62" s="382">
        <v>76</v>
      </c>
      <c r="I62" s="258">
        <v>190</v>
      </c>
      <c r="J62" s="262">
        <v>260.23</v>
      </c>
      <c r="K62" s="285"/>
      <c r="L62" s="285"/>
      <c r="M62" s="285"/>
      <c r="N62" s="275"/>
      <c r="O62" s="324"/>
      <c r="P62" s="299"/>
      <c r="Q62" s="277"/>
      <c r="R62" s="300"/>
      <c r="S62" s="279"/>
      <c r="T62" s="301"/>
      <c r="U62" s="281"/>
      <c r="V62" s="282"/>
      <c r="W62" s="280"/>
      <c r="X62" s="302"/>
      <c r="Y62" s="284"/>
      <c r="Z62" s="302"/>
      <c r="AA62" s="302"/>
    </row>
    <row r="63" spans="1:27">
      <c r="A63" s="354">
        <v>2</v>
      </c>
      <c r="B63" s="149" t="s">
        <v>76</v>
      </c>
      <c r="C63" s="149"/>
      <c r="D63" s="192"/>
      <c r="E63" s="192">
        <v>306</v>
      </c>
      <c r="F63" s="393">
        <v>209.92</v>
      </c>
      <c r="G63" s="65">
        <v>26</v>
      </c>
      <c r="H63" s="382">
        <v>48</v>
      </c>
      <c r="I63" s="258">
        <v>35</v>
      </c>
      <c r="J63" s="262">
        <v>47.34</v>
      </c>
      <c r="K63" s="188"/>
      <c r="L63" s="188"/>
      <c r="M63" s="188"/>
      <c r="N63" s="189"/>
      <c r="O63" s="138"/>
      <c r="P63" s="229"/>
      <c r="Q63" s="183"/>
      <c r="R63" s="133"/>
      <c r="S63" s="151"/>
      <c r="T63" s="174"/>
      <c r="U63" s="153"/>
      <c r="V63" s="124"/>
      <c r="W63" s="114"/>
      <c r="X63" s="131"/>
      <c r="Y63" s="127"/>
      <c r="Z63" s="131"/>
      <c r="AA63" s="131"/>
    </row>
    <row r="64" spans="1:27">
      <c r="A64" s="216"/>
      <c r="B64" s="158" t="s">
        <v>77</v>
      </c>
      <c r="C64" s="158"/>
      <c r="D64" s="362">
        <v>0</v>
      </c>
      <c r="E64" s="362">
        <v>1128</v>
      </c>
      <c r="F64" s="362">
        <v>594.17999999999995</v>
      </c>
      <c r="G64" s="362">
        <v>213.27</v>
      </c>
      <c r="H64" s="363">
        <v>124</v>
      </c>
      <c r="I64" s="362">
        <v>225</v>
      </c>
      <c r="J64" s="362">
        <v>307.57000000000005</v>
      </c>
      <c r="K64" s="139"/>
      <c r="L64" s="139"/>
      <c r="M64" s="139"/>
      <c r="N64" s="149"/>
      <c r="O64" s="149"/>
      <c r="P64" s="226"/>
      <c r="Q64" s="152"/>
      <c r="R64" s="140"/>
      <c r="S64" s="150"/>
      <c r="T64" s="126"/>
      <c r="U64" s="175"/>
      <c r="V64" s="176"/>
      <c r="W64" s="176"/>
      <c r="X64" s="176"/>
      <c r="Y64" s="127"/>
      <c r="Z64" s="176"/>
      <c r="AA64" s="176"/>
    </row>
    <row r="65" spans="1:25">
      <c r="A65" s="216" t="s">
        <v>70</v>
      </c>
      <c r="B65" s="190" t="s">
        <v>472</v>
      </c>
      <c r="C65" s="190"/>
      <c r="D65" s="364"/>
      <c r="E65" s="364"/>
      <c r="F65" s="364"/>
      <c r="G65" s="362"/>
      <c r="H65" s="363"/>
      <c r="I65" s="364"/>
      <c r="J65" s="364"/>
      <c r="K65" s="150"/>
      <c r="L65" s="150"/>
      <c r="M65" s="150"/>
      <c r="N65" s="150"/>
      <c r="O65" s="150"/>
      <c r="P65" s="226"/>
      <c r="Q65" s="183"/>
      <c r="R65" s="133"/>
      <c r="S65" s="144" t="e">
        <v>#REF!</v>
      </c>
      <c r="T65" s="114">
        <v>0</v>
      </c>
      <c r="U65" s="109"/>
      <c r="V65" s="109"/>
      <c r="W65" s="109"/>
      <c r="X65" s="109"/>
      <c r="Y65" s="127"/>
    </row>
    <row r="66" spans="1:25">
      <c r="A66" s="216"/>
      <c r="B66" s="190"/>
      <c r="C66" s="190"/>
      <c r="D66" s="364"/>
      <c r="E66" s="364"/>
      <c r="F66" s="364"/>
      <c r="G66" s="362"/>
      <c r="H66" s="363"/>
      <c r="I66" s="364"/>
      <c r="J66" s="364"/>
      <c r="K66" s="150"/>
      <c r="L66" s="150"/>
      <c r="M66" s="150"/>
      <c r="N66" s="150"/>
      <c r="O66" s="150"/>
      <c r="P66" s="226"/>
      <c r="Q66" s="183"/>
      <c r="R66" s="133"/>
      <c r="S66" s="144"/>
      <c r="T66" s="114"/>
      <c r="U66" s="109"/>
      <c r="V66" s="109"/>
      <c r="W66" s="109"/>
      <c r="X66" s="109"/>
      <c r="Y66" s="127"/>
    </row>
    <row r="67" spans="1:25" ht="38.25">
      <c r="A67" s="216" t="s">
        <v>473</v>
      </c>
      <c r="B67" s="202" t="s">
        <v>474</v>
      </c>
      <c r="C67" s="202"/>
      <c r="D67" s="364"/>
      <c r="E67" s="364"/>
      <c r="F67" s="364"/>
      <c r="G67" s="362"/>
      <c r="H67" s="363"/>
      <c r="I67" s="364"/>
      <c r="J67" s="364"/>
      <c r="K67" s="150"/>
      <c r="L67" s="150"/>
      <c r="M67" s="150"/>
      <c r="N67" s="150"/>
      <c r="O67" s="150"/>
      <c r="P67" s="226"/>
      <c r="Q67" s="183"/>
      <c r="R67" s="133"/>
      <c r="S67" s="144"/>
      <c r="T67" s="114"/>
      <c r="U67" s="109"/>
      <c r="V67" s="109"/>
      <c r="W67" s="109"/>
      <c r="X67" s="109"/>
      <c r="Y67" s="127"/>
    </row>
    <row r="68" spans="1:25" ht="30">
      <c r="A68" s="353">
        <v>1</v>
      </c>
      <c r="B68" s="319" t="s">
        <v>539</v>
      </c>
      <c r="C68" s="325" t="s">
        <v>540</v>
      </c>
      <c r="D68" s="370">
        <v>19.899999999999999</v>
      </c>
      <c r="E68" s="364">
        <v>21.9</v>
      </c>
      <c r="F68" s="370">
        <v>16.799999999999997</v>
      </c>
      <c r="G68" s="361">
        <v>5.0999999999999996</v>
      </c>
      <c r="H68" s="363">
        <v>8</v>
      </c>
      <c r="I68" s="364">
        <v>5.0999999999999996</v>
      </c>
      <c r="J68" s="364">
        <v>0</v>
      </c>
      <c r="K68" s="279"/>
      <c r="L68" s="279"/>
      <c r="M68" s="279"/>
      <c r="N68" s="279"/>
      <c r="O68" s="279"/>
      <c r="P68" s="290"/>
      <c r="Q68" s="277"/>
      <c r="R68" s="300"/>
      <c r="S68" s="326"/>
      <c r="T68" s="280"/>
      <c r="U68" s="327"/>
      <c r="V68" s="283"/>
      <c r="W68" s="283"/>
      <c r="X68" s="283"/>
      <c r="Y68" s="284"/>
    </row>
    <row r="69" spans="1:25" ht="30">
      <c r="A69" s="354">
        <v>2</v>
      </c>
      <c r="B69" s="319" t="s">
        <v>86</v>
      </c>
      <c r="C69" s="320" t="s">
        <v>541</v>
      </c>
      <c r="D69" s="364">
        <v>13.53</v>
      </c>
      <c r="E69" s="364">
        <v>13.53</v>
      </c>
      <c r="F69" s="364">
        <v>10.53</v>
      </c>
      <c r="G69" s="362">
        <v>0</v>
      </c>
      <c r="H69" s="363">
        <v>3</v>
      </c>
      <c r="I69" s="364">
        <v>3</v>
      </c>
      <c r="J69" s="364">
        <v>0</v>
      </c>
      <c r="K69" s="150"/>
      <c r="L69" s="150"/>
      <c r="M69" s="150"/>
      <c r="N69" s="150"/>
      <c r="O69" s="150"/>
      <c r="P69" s="226"/>
      <c r="Q69" s="183"/>
      <c r="R69" s="133"/>
      <c r="S69" s="144"/>
      <c r="T69" s="114"/>
      <c r="U69" s="109"/>
      <c r="V69" s="109"/>
      <c r="W69" s="109"/>
      <c r="X69" s="109"/>
      <c r="Y69" s="127"/>
    </row>
    <row r="70" spans="1:25">
      <c r="A70" s="207">
        <v>3</v>
      </c>
      <c r="B70" s="165" t="s">
        <v>469</v>
      </c>
      <c r="C70" s="165"/>
      <c r="D70" s="364"/>
      <c r="E70" s="364"/>
      <c r="F70" s="364"/>
      <c r="G70" s="362"/>
      <c r="H70" s="363"/>
      <c r="I70" s="364"/>
      <c r="J70" s="364"/>
      <c r="K70" s="150"/>
      <c r="L70" s="150"/>
      <c r="M70" s="150"/>
      <c r="N70" s="150"/>
      <c r="O70" s="150"/>
      <c r="P70" s="226"/>
      <c r="Q70" s="183"/>
      <c r="R70" s="133"/>
      <c r="S70" s="144"/>
      <c r="T70" s="114"/>
      <c r="U70" s="109"/>
      <c r="V70" s="109"/>
      <c r="W70" s="109"/>
      <c r="X70" s="109"/>
      <c r="Y70" s="127"/>
    </row>
    <row r="71" spans="1:25">
      <c r="A71" s="214"/>
      <c r="B71" s="197" t="s">
        <v>475</v>
      </c>
      <c r="C71" s="197"/>
      <c r="D71" s="362">
        <v>33.43</v>
      </c>
      <c r="E71" s="362">
        <v>35.43</v>
      </c>
      <c r="F71" s="362">
        <v>27.33</v>
      </c>
      <c r="G71" s="362">
        <v>5.0999999999999996</v>
      </c>
      <c r="H71" s="363">
        <v>11</v>
      </c>
      <c r="I71" s="362">
        <v>8.1</v>
      </c>
      <c r="J71" s="362">
        <v>0</v>
      </c>
      <c r="K71" s="150"/>
      <c r="L71" s="150"/>
      <c r="M71" s="150"/>
      <c r="N71" s="150"/>
      <c r="O71" s="150"/>
      <c r="P71" s="226"/>
      <c r="Q71" s="183"/>
      <c r="R71" s="133"/>
      <c r="S71" s="144"/>
      <c r="T71" s="114"/>
      <c r="U71" s="109"/>
      <c r="V71" s="109"/>
      <c r="W71" s="109"/>
      <c r="X71" s="109"/>
      <c r="Y71" s="127"/>
    </row>
    <row r="72" spans="1:25" ht="38.25">
      <c r="A72" s="216" t="s">
        <v>476</v>
      </c>
      <c r="B72" s="202" t="s">
        <v>477</v>
      </c>
      <c r="C72" s="202"/>
      <c r="D72" s="364"/>
      <c r="E72" s="364"/>
      <c r="F72" s="364"/>
      <c r="G72" s="362"/>
      <c r="H72" s="363"/>
      <c r="I72" s="364"/>
      <c r="J72" s="364"/>
      <c r="K72" s="150"/>
      <c r="L72" s="150"/>
      <c r="M72" s="150"/>
      <c r="N72" s="150"/>
      <c r="O72" s="150"/>
      <c r="P72" s="226"/>
      <c r="Q72" s="183"/>
      <c r="R72" s="133"/>
      <c r="S72" s="144"/>
      <c r="T72" s="114"/>
      <c r="U72" s="109"/>
      <c r="V72" s="109"/>
      <c r="W72" s="109"/>
      <c r="X72" s="109"/>
      <c r="Y72" s="127"/>
    </row>
    <row r="73" spans="1:25" ht="30">
      <c r="A73" s="354">
        <v>1</v>
      </c>
      <c r="B73" s="321" t="s">
        <v>542</v>
      </c>
      <c r="C73" s="320" t="s">
        <v>543</v>
      </c>
      <c r="D73" s="364">
        <v>16.010000000000002</v>
      </c>
      <c r="E73" s="364">
        <v>16.010000000000002</v>
      </c>
      <c r="F73" s="364">
        <v>0</v>
      </c>
      <c r="G73" s="362">
        <v>1.41</v>
      </c>
      <c r="H73" s="363">
        <v>15</v>
      </c>
      <c r="I73" s="364">
        <v>15</v>
      </c>
      <c r="J73" s="364">
        <v>1.01</v>
      </c>
      <c r="K73" s="150"/>
      <c r="L73" s="150"/>
      <c r="M73" s="150"/>
      <c r="N73" s="150"/>
      <c r="O73" s="150"/>
      <c r="P73" s="226"/>
      <c r="Q73" s="183"/>
      <c r="R73" s="133"/>
      <c r="S73" s="144"/>
      <c r="T73" s="114"/>
      <c r="U73" s="109"/>
      <c r="V73" s="109"/>
      <c r="W73" s="109"/>
      <c r="X73" s="109"/>
      <c r="Y73" s="127"/>
    </row>
    <row r="74" spans="1:25" ht="30">
      <c r="A74" s="354">
        <v>2</v>
      </c>
      <c r="B74" s="319" t="s">
        <v>544</v>
      </c>
      <c r="C74" s="320" t="s">
        <v>545</v>
      </c>
      <c r="D74" s="364">
        <v>148.16</v>
      </c>
      <c r="E74" s="364">
        <v>148.16</v>
      </c>
      <c r="F74" s="364">
        <v>0</v>
      </c>
      <c r="G74" s="362">
        <v>6.53</v>
      </c>
      <c r="H74" s="363">
        <v>75.510000000000005</v>
      </c>
      <c r="I74" s="364">
        <v>75.5</v>
      </c>
      <c r="J74" s="364">
        <v>65</v>
      </c>
      <c r="K74" s="150"/>
      <c r="L74" s="150"/>
      <c r="M74" s="150"/>
      <c r="N74" s="150"/>
      <c r="O74" s="150"/>
      <c r="P74" s="226"/>
      <c r="Q74" s="183"/>
      <c r="R74" s="133"/>
      <c r="S74" s="144"/>
      <c r="T74" s="114"/>
      <c r="U74" s="109"/>
      <c r="V74" s="109"/>
      <c r="W74" s="109"/>
      <c r="X74" s="109"/>
      <c r="Y74" s="127"/>
    </row>
    <row r="75" spans="1:25">
      <c r="A75" s="354">
        <v>3</v>
      </c>
      <c r="B75" s="165" t="s">
        <v>469</v>
      </c>
      <c r="C75" s="165"/>
      <c r="D75" s="364">
        <v>71.586822400000003</v>
      </c>
      <c r="E75" s="364">
        <v>71.586822400000003</v>
      </c>
      <c r="F75" s="364">
        <v>7.0000000000000007E-2</v>
      </c>
      <c r="G75" s="362">
        <v>7.94</v>
      </c>
      <c r="H75" s="363">
        <v>0</v>
      </c>
      <c r="I75" s="362">
        <v>29.44</v>
      </c>
      <c r="J75" s="364">
        <v>0</v>
      </c>
      <c r="K75" s="150"/>
      <c r="L75" s="150"/>
      <c r="M75" s="150"/>
      <c r="N75" s="150"/>
      <c r="O75" s="150"/>
      <c r="P75" s="226"/>
      <c r="Q75" s="183"/>
      <c r="R75" s="133"/>
      <c r="S75" s="144"/>
      <c r="T75" s="114"/>
      <c r="U75" s="109"/>
      <c r="V75" s="109"/>
      <c r="W75" s="109"/>
      <c r="X75" s="109"/>
      <c r="Y75" s="127"/>
    </row>
    <row r="76" spans="1:25">
      <c r="A76" s="354"/>
      <c r="B76" s="197" t="s">
        <v>478</v>
      </c>
      <c r="C76" s="197"/>
      <c r="D76" s="362">
        <v>235.75682239999998</v>
      </c>
      <c r="E76" s="362">
        <v>235.75682239999998</v>
      </c>
      <c r="F76" s="362">
        <v>7.0000000000000007E-2</v>
      </c>
      <c r="G76" s="362">
        <v>15.88</v>
      </c>
      <c r="H76" s="363">
        <v>90.51</v>
      </c>
      <c r="I76" s="362">
        <v>119.94</v>
      </c>
      <c r="J76" s="362">
        <v>66.010000000000005</v>
      </c>
      <c r="K76" s="150"/>
      <c r="L76" s="150"/>
      <c r="M76" s="150"/>
      <c r="N76" s="150"/>
      <c r="O76" s="150"/>
      <c r="P76" s="226"/>
      <c r="Q76" s="183"/>
      <c r="R76" s="133"/>
      <c r="S76" s="144"/>
      <c r="T76" s="114"/>
      <c r="U76" s="109"/>
      <c r="V76" s="109"/>
      <c r="W76" s="109"/>
      <c r="X76" s="109"/>
      <c r="Y76" s="127"/>
    </row>
    <row r="77" spans="1:25">
      <c r="A77" s="216" t="s">
        <v>479</v>
      </c>
      <c r="B77" s="191" t="s">
        <v>56</v>
      </c>
      <c r="C77" s="191"/>
      <c r="D77" s="364"/>
      <c r="E77" s="364"/>
      <c r="F77" s="364"/>
      <c r="G77" s="362"/>
      <c r="H77" s="363"/>
      <c r="I77" s="364"/>
      <c r="J77" s="364"/>
      <c r="K77" s="150"/>
      <c r="L77" s="150"/>
      <c r="M77" s="150"/>
      <c r="N77" s="150"/>
      <c r="O77" s="150"/>
      <c r="P77" s="226"/>
      <c r="Q77" s="183"/>
      <c r="R77" s="133"/>
      <c r="S77" s="150"/>
      <c r="T77" s="114"/>
      <c r="U77" s="109"/>
      <c r="V77" s="109"/>
      <c r="W77" s="109"/>
      <c r="X77" s="109"/>
      <c r="Y77" s="127"/>
    </row>
    <row r="78" spans="1:25">
      <c r="A78" s="354">
        <v>1</v>
      </c>
      <c r="B78" s="319" t="s">
        <v>252</v>
      </c>
      <c r="C78" s="191"/>
      <c r="D78" s="364">
        <v>30</v>
      </c>
      <c r="E78" s="364">
        <v>30</v>
      </c>
      <c r="F78" s="364">
        <v>0</v>
      </c>
      <c r="G78" s="362">
        <v>0</v>
      </c>
      <c r="H78" s="363">
        <v>12</v>
      </c>
      <c r="I78" s="364">
        <v>5</v>
      </c>
      <c r="J78" s="364">
        <v>21.29</v>
      </c>
      <c r="K78" s="150"/>
      <c r="L78" s="150"/>
      <c r="M78" s="150"/>
      <c r="N78" s="150"/>
      <c r="O78" s="150"/>
      <c r="P78" s="226"/>
      <c r="Q78" s="183"/>
      <c r="R78" s="133"/>
      <c r="S78" s="150"/>
      <c r="T78" s="114"/>
      <c r="U78" s="109"/>
      <c r="V78" s="109"/>
      <c r="W78" s="109"/>
      <c r="X78" s="109"/>
      <c r="Y78" s="127"/>
    </row>
    <row r="79" spans="1:25" ht="38.25">
      <c r="A79" s="354">
        <v>2</v>
      </c>
      <c r="B79" s="322" t="s">
        <v>546</v>
      </c>
      <c r="C79" s="191"/>
      <c r="D79" s="364">
        <v>268</v>
      </c>
      <c r="E79" s="364">
        <v>268</v>
      </c>
      <c r="F79" s="364">
        <v>0</v>
      </c>
      <c r="G79" s="362">
        <v>0</v>
      </c>
      <c r="H79" s="363">
        <v>95</v>
      </c>
      <c r="I79" s="364">
        <v>7</v>
      </c>
      <c r="J79" s="364">
        <v>73.72</v>
      </c>
      <c r="K79" s="150"/>
      <c r="L79" s="150"/>
      <c r="M79" s="150"/>
      <c r="N79" s="150"/>
      <c r="O79" s="150"/>
      <c r="P79" s="226"/>
      <c r="Q79" s="183"/>
      <c r="R79" s="133"/>
      <c r="S79" s="150"/>
      <c r="T79" s="114"/>
      <c r="U79" s="109"/>
      <c r="V79" s="109"/>
      <c r="W79" s="109"/>
      <c r="X79" s="109"/>
      <c r="Y79" s="127"/>
    </row>
    <row r="80" spans="1:25">
      <c r="A80" s="354">
        <v>3</v>
      </c>
      <c r="B80" s="165" t="s">
        <v>469</v>
      </c>
      <c r="C80" s="165"/>
      <c r="D80" s="192"/>
      <c r="E80" s="192"/>
      <c r="F80" s="65">
        <v>0</v>
      </c>
      <c r="G80" s="65">
        <v>0</v>
      </c>
      <c r="H80" s="394">
        <v>0</v>
      </c>
      <c r="I80" s="258">
        <v>0</v>
      </c>
      <c r="J80" s="262">
        <v>0</v>
      </c>
      <c r="K80" s="192"/>
      <c r="L80" s="192"/>
      <c r="M80" s="192"/>
      <c r="N80" s="189"/>
      <c r="O80" s="189"/>
      <c r="P80" s="233"/>
      <c r="Q80" s="183"/>
      <c r="R80" s="135"/>
      <c r="S80" s="150"/>
      <c r="T80" s="114"/>
      <c r="U80" s="109"/>
      <c r="V80" s="109"/>
      <c r="W80" s="109"/>
      <c r="X80" s="109"/>
      <c r="Y80" s="127"/>
    </row>
    <row r="81" spans="1:25">
      <c r="A81" s="234"/>
      <c r="B81" s="197" t="s">
        <v>480</v>
      </c>
      <c r="C81" s="197"/>
      <c r="D81" s="362">
        <v>298</v>
      </c>
      <c r="E81" s="362">
        <v>298</v>
      </c>
      <c r="F81" s="362">
        <v>0</v>
      </c>
      <c r="G81" s="362">
        <v>0</v>
      </c>
      <c r="H81" s="363">
        <v>107</v>
      </c>
      <c r="I81" s="362">
        <v>12</v>
      </c>
      <c r="J81" s="362">
        <v>95.009999999999991</v>
      </c>
      <c r="K81" s="170"/>
      <c r="L81" s="170"/>
      <c r="M81" s="170"/>
      <c r="N81" s="170"/>
      <c r="O81" s="170"/>
      <c r="P81" s="235"/>
      <c r="Q81" s="184"/>
      <c r="R81" s="157"/>
      <c r="S81" s="170"/>
      <c r="T81" s="171"/>
      <c r="U81" s="173"/>
      <c r="V81" s="173"/>
      <c r="W81" s="173"/>
      <c r="X81" s="173"/>
      <c r="Y81" s="127"/>
    </row>
    <row r="82" spans="1:25" ht="14.25">
      <c r="A82" s="329" t="s">
        <v>481</v>
      </c>
      <c r="B82" s="330" t="s">
        <v>55</v>
      </c>
      <c r="C82" s="330"/>
      <c r="D82" s="371"/>
      <c r="E82" s="331"/>
      <c r="F82" s="371"/>
      <c r="G82" s="371"/>
      <c r="H82" s="395"/>
      <c r="I82" s="371"/>
      <c r="J82" s="364"/>
      <c r="K82" s="150"/>
      <c r="L82" s="150"/>
      <c r="M82" s="150"/>
      <c r="N82" s="150"/>
      <c r="O82" s="150"/>
      <c r="P82" s="236"/>
      <c r="Q82" s="183"/>
      <c r="R82" s="135"/>
      <c r="S82" s="150"/>
      <c r="T82" s="114"/>
      <c r="U82" s="109"/>
      <c r="V82" s="109"/>
      <c r="W82" s="109"/>
      <c r="X82" s="109"/>
      <c r="Y82" s="127"/>
    </row>
    <row r="83" spans="1:25" ht="25.5">
      <c r="A83" s="355">
        <v>1</v>
      </c>
      <c r="B83" s="332" t="s">
        <v>85</v>
      </c>
      <c r="C83" s="330"/>
      <c r="D83" s="371"/>
      <c r="E83" s="360">
        <v>35.97</v>
      </c>
      <c r="F83" s="371">
        <v>0</v>
      </c>
      <c r="G83" s="371">
        <v>0</v>
      </c>
      <c r="H83" s="352">
        <v>3</v>
      </c>
      <c r="I83" s="371">
        <v>0</v>
      </c>
      <c r="J83" s="364">
        <v>0</v>
      </c>
      <c r="K83" s="150"/>
      <c r="L83" s="150"/>
      <c r="M83" s="150"/>
      <c r="N83" s="150"/>
      <c r="O83" s="150"/>
      <c r="P83" s="236"/>
      <c r="Q83" s="183"/>
      <c r="R83" s="135"/>
      <c r="S83" s="150"/>
      <c r="T83" s="114"/>
      <c r="U83" s="109"/>
      <c r="V83" s="109"/>
      <c r="W83" s="109"/>
      <c r="X83" s="109"/>
      <c r="Y83" s="127"/>
    </row>
    <row r="84" spans="1:25">
      <c r="A84" s="355">
        <v>2</v>
      </c>
      <c r="B84" s="268" t="s">
        <v>620</v>
      </c>
      <c r="C84" s="330"/>
      <c r="D84" s="371"/>
      <c r="E84" s="364">
        <v>1315.82</v>
      </c>
      <c r="F84" s="371">
        <v>0</v>
      </c>
      <c r="G84" s="371">
        <v>0</v>
      </c>
      <c r="H84" s="352">
        <v>196.14</v>
      </c>
      <c r="I84" s="396">
        <v>0</v>
      </c>
      <c r="J84" s="364">
        <v>0</v>
      </c>
      <c r="K84" s="150"/>
      <c r="L84" s="150"/>
      <c r="M84" s="150"/>
      <c r="N84" s="150"/>
      <c r="O84" s="150"/>
      <c r="P84" s="236"/>
      <c r="Q84" s="183"/>
      <c r="R84" s="135"/>
      <c r="S84" s="150"/>
      <c r="T84" s="114"/>
      <c r="U84" s="109"/>
      <c r="V84" s="109"/>
      <c r="W84" s="109"/>
      <c r="X84" s="109"/>
      <c r="Y84" s="127"/>
    </row>
    <row r="85" spans="1:25" ht="25.5">
      <c r="A85" s="355">
        <v>3</v>
      </c>
      <c r="B85" s="268" t="s">
        <v>621</v>
      </c>
      <c r="C85" s="330"/>
      <c r="D85" s="371"/>
      <c r="E85" s="364">
        <v>24.08</v>
      </c>
      <c r="F85" s="371">
        <v>0</v>
      </c>
      <c r="G85" s="371">
        <v>0</v>
      </c>
      <c r="H85" s="352">
        <v>8</v>
      </c>
      <c r="I85" s="396">
        <v>0</v>
      </c>
      <c r="J85" s="364">
        <v>0</v>
      </c>
      <c r="K85" s="150"/>
      <c r="L85" s="150"/>
      <c r="M85" s="150"/>
      <c r="N85" s="150"/>
      <c r="O85" s="150"/>
      <c r="P85" s="236"/>
      <c r="Q85" s="183"/>
      <c r="R85" s="135"/>
      <c r="S85" s="150"/>
      <c r="T85" s="114"/>
      <c r="U85" s="109"/>
      <c r="V85" s="109"/>
      <c r="W85" s="109"/>
      <c r="X85" s="109"/>
      <c r="Y85" s="127"/>
    </row>
    <row r="86" spans="1:25">
      <c r="A86" s="355">
        <v>4</v>
      </c>
      <c r="B86" s="268" t="s">
        <v>622</v>
      </c>
      <c r="C86" s="330"/>
      <c r="D86" s="371"/>
      <c r="E86" s="371">
        <v>137.27000000000001</v>
      </c>
      <c r="F86" s="371">
        <v>0</v>
      </c>
      <c r="G86" s="371">
        <v>0</v>
      </c>
      <c r="H86" s="352">
        <v>10</v>
      </c>
      <c r="I86" s="371">
        <v>0</v>
      </c>
      <c r="J86" s="364">
        <v>0</v>
      </c>
      <c r="K86" s="150"/>
      <c r="L86" s="150"/>
      <c r="M86" s="150"/>
      <c r="N86" s="150"/>
      <c r="O86" s="150"/>
      <c r="P86" s="236"/>
      <c r="Q86" s="183"/>
      <c r="R86" s="135"/>
      <c r="S86" s="150"/>
      <c r="T86" s="114"/>
      <c r="U86" s="109"/>
      <c r="V86" s="109"/>
      <c r="W86" s="109"/>
      <c r="X86" s="109"/>
      <c r="Y86" s="127"/>
    </row>
    <row r="87" spans="1:25">
      <c r="A87" s="355">
        <v>5</v>
      </c>
      <c r="B87" s="268" t="s">
        <v>623</v>
      </c>
      <c r="C87" s="330"/>
      <c r="D87" s="371"/>
      <c r="E87" s="371">
        <v>87</v>
      </c>
      <c r="F87" s="371">
        <v>0</v>
      </c>
      <c r="G87" s="371">
        <v>0</v>
      </c>
      <c r="H87" s="352">
        <v>7</v>
      </c>
      <c r="I87" s="371">
        <v>0</v>
      </c>
      <c r="J87" s="364">
        <v>0</v>
      </c>
      <c r="K87" s="150"/>
      <c r="L87" s="150"/>
      <c r="M87" s="150"/>
      <c r="N87" s="150"/>
      <c r="O87" s="150"/>
      <c r="P87" s="236"/>
      <c r="Q87" s="183"/>
      <c r="R87" s="135"/>
      <c r="S87" s="150"/>
      <c r="T87" s="114"/>
      <c r="U87" s="109"/>
      <c r="V87" s="109"/>
      <c r="W87" s="109"/>
      <c r="X87" s="109"/>
      <c r="Y87" s="127"/>
    </row>
    <row r="88" spans="1:25">
      <c r="A88" s="355">
        <v>6</v>
      </c>
      <c r="B88" s="268" t="s">
        <v>624</v>
      </c>
      <c r="C88" s="330"/>
      <c r="D88" s="371"/>
      <c r="E88" s="371">
        <v>60</v>
      </c>
      <c r="F88" s="371">
        <v>0</v>
      </c>
      <c r="G88" s="371">
        <v>0</v>
      </c>
      <c r="H88" s="352">
        <v>6.93</v>
      </c>
      <c r="I88" s="371">
        <v>0</v>
      </c>
      <c r="J88" s="364">
        <v>0</v>
      </c>
      <c r="K88" s="150"/>
      <c r="L88" s="150"/>
      <c r="M88" s="150"/>
      <c r="N88" s="150"/>
      <c r="O88" s="150"/>
      <c r="P88" s="236"/>
      <c r="Q88" s="183"/>
      <c r="R88" s="135"/>
      <c r="S88" s="150"/>
      <c r="T88" s="114"/>
      <c r="U88" s="109"/>
      <c r="V88" s="109"/>
      <c r="W88" s="109"/>
      <c r="X88" s="109"/>
      <c r="Y88" s="127"/>
    </row>
    <row r="89" spans="1:25">
      <c r="A89" s="355">
        <v>7</v>
      </c>
      <c r="B89" s="268" t="s">
        <v>625</v>
      </c>
      <c r="C89" s="330"/>
      <c r="D89" s="371"/>
      <c r="E89" s="371">
        <v>82.34</v>
      </c>
      <c r="F89" s="371">
        <v>0</v>
      </c>
      <c r="G89" s="371">
        <v>0</v>
      </c>
      <c r="H89" s="352">
        <v>4</v>
      </c>
      <c r="I89" s="371">
        <v>0</v>
      </c>
      <c r="J89" s="364">
        <v>0</v>
      </c>
      <c r="K89" s="150"/>
      <c r="L89" s="150"/>
      <c r="M89" s="150"/>
      <c r="N89" s="150"/>
      <c r="O89" s="150"/>
      <c r="P89" s="236"/>
      <c r="Q89" s="183"/>
      <c r="R89" s="135"/>
      <c r="S89" s="150"/>
      <c r="T89" s="114"/>
      <c r="U89" s="109"/>
      <c r="V89" s="109"/>
      <c r="W89" s="109"/>
      <c r="X89" s="109"/>
      <c r="Y89" s="127"/>
    </row>
    <row r="90" spans="1:25" ht="25.5">
      <c r="A90" s="355">
        <v>8</v>
      </c>
      <c r="B90" s="332" t="s">
        <v>547</v>
      </c>
      <c r="C90" s="330"/>
      <c r="D90" s="371"/>
      <c r="E90" s="371">
        <v>51.13</v>
      </c>
      <c r="F90" s="371">
        <v>0</v>
      </c>
      <c r="G90" s="371">
        <v>0</v>
      </c>
      <c r="H90" s="352">
        <v>6.93</v>
      </c>
      <c r="I90" s="371">
        <v>0</v>
      </c>
      <c r="J90" s="364">
        <v>0</v>
      </c>
      <c r="K90" s="150"/>
      <c r="L90" s="150"/>
      <c r="M90" s="150"/>
      <c r="N90" s="150"/>
      <c r="O90" s="150"/>
      <c r="P90" s="236"/>
      <c r="Q90" s="183"/>
      <c r="R90" s="135"/>
      <c r="S90" s="150"/>
      <c r="T90" s="114"/>
      <c r="U90" s="109"/>
      <c r="V90" s="109"/>
      <c r="W90" s="109"/>
      <c r="X90" s="109"/>
      <c r="Y90" s="127"/>
    </row>
    <row r="91" spans="1:25">
      <c r="A91" s="355">
        <v>9</v>
      </c>
      <c r="B91" s="323" t="s">
        <v>548</v>
      </c>
      <c r="C91" s="330"/>
      <c r="D91" s="371"/>
      <c r="E91" s="371">
        <v>31.36</v>
      </c>
      <c r="F91" s="371">
        <v>0</v>
      </c>
      <c r="G91" s="371">
        <v>0</v>
      </c>
      <c r="H91" s="352">
        <v>6.64</v>
      </c>
      <c r="I91" s="371">
        <v>0</v>
      </c>
      <c r="J91" s="364">
        <v>0</v>
      </c>
      <c r="K91" s="150"/>
      <c r="L91" s="150"/>
      <c r="M91" s="150"/>
      <c r="N91" s="150"/>
      <c r="O91" s="150"/>
      <c r="P91" s="236"/>
      <c r="Q91" s="183"/>
      <c r="R91" s="135"/>
      <c r="S91" s="150"/>
      <c r="T91" s="114"/>
      <c r="U91" s="109"/>
      <c r="V91" s="109"/>
      <c r="W91" s="109"/>
      <c r="X91" s="109"/>
      <c r="Y91" s="127"/>
    </row>
    <row r="92" spans="1:25" ht="25.5">
      <c r="A92" s="355">
        <v>10</v>
      </c>
      <c r="B92" s="268" t="s">
        <v>626</v>
      </c>
      <c r="C92" s="330"/>
      <c r="D92" s="371"/>
      <c r="E92" s="371">
        <v>98.3</v>
      </c>
      <c r="F92" s="371">
        <v>0</v>
      </c>
      <c r="G92" s="371">
        <v>0</v>
      </c>
      <c r="H92" s="352">
        <v>7.97</v>
      </c>
      <c r="I92" s="371">
        <v>0</v>
      </c>
      <c r="J92" s="364">
        <v>0</v>
      </c>
      <c r="K92" s="150"/>
      <c r="L92" s="150"/>
      <c r="M92" s="150"/>
      <c r="N92" s="150"/>
      <c r="O92" s="150"/>
      <c r="P92" s="236"/>
      <c r="Q92" s="183"/>
      <c r="R92" s="135"/>
      <c r="S92" s="150"/>
      <c r="T92" s="114"/>
      <c r="U92" s="109"/>
      <c r="V92" s="109"/>
      <c r="W92" s="109"/>
      <c r="X92" s="109"/>
      <c r="Y92" s="127"/>
    </row>
    <row r="93" spans="1:25">
      <c r="A93" s="355">
        <v>11</v>
      </c>
      <c r="B93" s="268" t="s">
        <v>627</v>
      </c>
      <c r="C93" s="330"/>
      <c r="D93" s="371"/>
      <c r="E93" s="371">
        <v>89.77</v>
      </c>
      <c r="F93" s="371">
        <v>0</v>
      </c>
      <c r="G93" s="371">
        <v>0</v>
      </c>
      <c r="H93" s="352">
        <v>2.57</v>
      </c>
      <c r="I93" s="371">
        <v>0</v>
      </c>
      <c r="J93" s="364">
        <v>0</v>
      </c>
      <c r="K93" s="150"/>
      <c r="L93" s="150"/>
      <c r="M93" s="150"/>
      <c r="N93" s="150"/>
      <c r="O93" s="150"/>
      <c r="P93" s="236"/>
      <c r="Q93" s="183"/>
      <c r="R93" s="135"/>
      <c r="S93" s="150"/>
      <c r="T93" s="114"/>
      <c r="U93" s="109"/>
      <c r="V93" s="109"/>
      <c r="W93" s="109"/>
      <c r="X93" s="109"/>
      <c r="Y93" s="127"/>
    </row>
    <row r="94" spans="1:25">
      <c r="A94" s="355">
        <v>12</v>
      </c>
      <c r="B94" s="268" t="s">
        <v>628</v>
      </c>
      <c r="C94" s="330"/>
      <c r="D94" s="371"/>
      <c r="E94" s="371">
        <v>33.200000000000003</v>
      </c>
      <c r="F94" s="371">
        <v>0</v>
      </c>
      <c r="G94" s="371">
        <v>0</v>
      </c>
      <c r="H94" s="352">
        <v>1.1100000000000001</v>
      </c>
      <c r="I94" s="371">
        <v>0</v>
      </c>
      <c r="J94" s="364">
        <v>0</v>
      </c>
      <c r="K94" s="150"/>
      <c r="L94" s="150"/>
      <c r="M94" s="150"/>
      <c r="N94" s="150"/>
      <c r="O94" s="150"/>
      <c r="P94" s="236"/>
      <c r="Q94" s="183"/>
      <c r="R94" s="135"/>
      <c r="S94" s="150"/>
      <c r="T94" s="114"/>
      <c r="U94" s="109"/>
      <c r="V94" s="109"/>
      <c r="W94" s="109"/>
      <c r="X94" s="109"/>
      <c r="Y94" s="127"/>
    </row>
    <row r="95" spans="1:25" ht="25.5">
      <c r="A95" s="355">
        <v>13</v>
      </c>
      <c r="B95" s="323" t="s">
        <v>87</v>
      </c>
      <c r="C95" s="330"/>
      <c r="D95" s="371"/>
      <c r="E95" s="371">
        <v>31.85</v>
      </c>
      <c r="F95" s="371">
        <v>0</v>
      </c>
      <c r="G95" s="371">
        <v>0</v>
      </c>
      <c r="H95" s="352">
        <v>1</v>
      </c>
      <c r="I95" s="371">
        <v>0</v>
      </c>
      <c r="J95" s="364">
        <v>0</v>
      </c>
      <c r="K95" s="150"/>
      <c r="L95" s="150"/>
      <c r="M95" s="150"/>
      <c r="N95" s="150"/>
      <c r="O95" s="150"/>
      <c r="P95" s="236"/>
      <c r="Q95" s="183"/>
      <c r="R95" s="135"/>
      <c r="S95" s="150"/>
      <c r="T95" s="114"/>
      <c r="U95" s="109"/>
      <c r="V95" s="109"/>
      <c r="W95" s="109"/>
      <c r="X95" s="109"/>
      <c r="Y95" s="127"/>
    </row>
    <row r="96" spans="1:25">
      <c r="A96" s="356">
        <v>14</v>
      </c>
      <c r="B96" s="333" t="s">
        <v>469</v>
      </c>
      <c r="C96" s="334"/>
      <c r="D96" s="335"/>
      <c r="E96" s="371">
        <v>1468.1965667999993</v>
      </c>
      <c r="F96" s="371">
        <v>0</v>
      </c>
      <c r="G96" s="371">
        <v>0</v>
      </c>
      <c r="H96" s="352">
        <v>35</v>
      </c>
      <c r="I96" s="338">
        <v>44.59</v>
      </c>
      <c r="J96" s="262">
        <v>488.75085463333357</v>
      </c>
      <c r="K96" s="188"/>
      <c r="L96" s="188"/>
      <c r="M96" s="188"/>
      <c r="N96" s="189"/>
      <c r="O96" s="189"/>
      <c r="P96" s="233"/>
      <c r="Q96" s="183"/>
      <c r="R96" s="135"/>
      <c r="S96" s="150"/>
      <c r="T96" s="114"/>
      <c r="U96" s="153"/>
      <c r="V96" s="109"/>
      <c r="W96" s="109"/>
      <c r="X96" s="109"/>
      <c r="Y96" s="127"/>
    </row>
    <row r="97" spans="1:25">
      <c r="A97" s="356"/>
      <c r="B97" s="336" t="s">
        <v>482</v>
      </c>
      <c r="C97" s="336"/>
      <c r="D97" s="337">
        <v>0</v>
      </c>
      <c r="E97" s="337">
        <v>3546.286566799999</v>
      </c>
      <c r="F97" s="337">
        <v>0</v>
      </c>
      <c r="G97" s="337">
        <v>0</v>
      </c>
      <c r="H97" s="352">
        <v>296.29000000000002</v>
      </c>
      <c r="I97" s="424">
        <v>44.59</v>
      </c>
      <c r="J97" s="270">
        <v>488.75085463333357</v>
      </c>
      <c r="K97" s="270">
        <v>0</v>
      </c>
      <c r="L97" s="188"/>
      <c r="M97" s="188"/>
      <c r="N97" s="189"/>
      <c r="O97" s="189"/>
      <c r="P97" s="233"/>
      <c r="Q97" s="183"/>
      <c r="R97" s="135"/>
      <c r="S97" s="150"/>
      <c r="T97" s="114"/>
      <c r="U97" s="153"/>
      <c r="V97" s="109"/>
      <c r="W97" s="109"/>
      <c r="X97" s="109"/>
      <c r="Y97" s="127"/>
    </row>
    <row r="98" spans="1:25">
      <c r="A98" s="218"/>
      <c r="B98" s="193" t="s">
        <v>629</v>
      </c>
      <c r="C98" s="193"/>
      <c r="D98" s="364"/>
      <c r="E98" s="362"/>
      <c r="F98" s="364"/>
      <c r="G98" s="364"/>
      <c r="H98" s="363"/>
      <c r="I98" s="364"/>
      <c r="J98" s="364"/>
      <c r="K98" s="150"/>
      <c r="L98" s="150"/>
      <c r="M98" s="150"/>
      <c r="N98" s="150"/>
      <c r="O98" s="150"/>
      <c r="P98" s="236"/>
      <c r="Q98" s="183"/>
      <c r="R98" s="135"/>
      <c r="S98" s="150" t="e">
        <v>#REF!</v>
      </c>
      <c r="T98" s="114">
        <v>0</v>
      </c>
      <c r="U98" s="153"/>
      <c r="V98" s="109"/>
      <c r="W98" s="109"/>
      <c r="X98" s="109"/>
      <c r="Y98" s="127"/>
    </row>
    <row r="99" spans="1:25">
      <c r="A99" s="218"/>
      <c r="B99" s="193" t="s">
        <v>630</v>
      </c>
      <c r="C99" s="193"/>
      <c r="D99" s="364"/>
      <c r="E99" s="362"/>
      <c r="F99" s="364"/>
      <c r="G99" s="364"/>
      <c r="H99" s="363"/>
      <c r="I99" s="364"/>
      <c r="J99" s="364"/>
      <c r="K99" s="150"/>
      <c r="L99" s="150"/>
      <c r="M99" s="150"/>
      <c r="N99" s="150"/>
      <c r="O99" s="150"/>
      <c r="P99" s="236"/>
      <c r="Q99" s="183"/>
      <c r="R99" s="135"/>
      <c r="S99" s="150" t="e">
        <v>#REF!</v>
      </c>
      <c r="T99" s="114">
        <v>0</v>
      </c>
      <c r="U99" s="153"/>
      <c r="V99" s="109"/>
      <c r="W99" s="109"/>
      <c r="X99" s="109"/>
      <c r="Y99" s="127"/>
    </row>
    <row r="100" spans="1:25">
      <c r="A100" s="218" t="s">
        <v>29</v>
      </c>
      <c r="B100" s="158" t="s">
        <v>483</v>
      </c>
      <c r="C100" s="158"/>
      <c r="D100" s="362">
        <v>567.18682239999987</v>
      </c>
      <c r="E100" s="362">
        <v>4115.4733891999995</v>
      </c>
      <c r="F100" s="362">
        <v>27.4</v>
      </c>
      <c r="G100" s="362">
        <v>20.98</v>
      </c>
      <c r="H100" s="363">
        <v>504.8</v>
      </c>
      <c r="I100" s="362">
        <v>184.63</v>
      </c>
      <c r="J100" s="362">
        <v>649.77085463333356</v>
      </c>
      <c r="K100" s="139">
        <v>0</v>
      </c>
      <c r="L100" s="139"/>
      <c r="M100" s="139"/>
      <c r="N100" s="139" t="s">
        <v>29</v>
      </c>
      <c r="O100" s="139" t="s">
        <v>29</v>
      </c>
      <c r="P100" s="215" t="s">
        <v>29</v>
      </c>
      <c r="Q100" s="182">
        <v>190</v>
      </c>
      <c r="R100" s="139" t="e">
        <v>#REF!</v>
      </c>
      <c r="S100" s="139" t="e">
        <v>#REF!</v>
      </c>
      <c r="T100" s="114">
        <v>0</v>
      </c>
      <c r="U100" s="109"/>
      <c r="V100" s="109"/>
      <c r="W100" s="109"/>
      <c r="X100" s="109"/>
      <c r="Y100" s="127"/>
    </row>
    <row r="101" spans="1:25">
      <c r="A101" s="216"/>
      <c r="B101" s="149" t="s">
        <v>54</v>
      </c>
      <c r="C101" s="149"/>
      <c r="D101" s="362"/>
      <c r="E101" s="362"/>
      <c r="F101" s="362"/>
      <c r="G101" s="362"/>
      <c r="H101" s="363"/>
      <c r="I101" s="364"/>
      <c r="J101" s="362"/>
      <c r="K101" s="149"/>
      <c r="L101" s="149"/>
      <c r="M101" s="149"/>
      <c r="N101" s="149"/>
      <c r="O101" s="149"/>
      <c r="P101" s="226"/>
      <c r="Q101" s="183"/>
      <c r="R101" s="133"/>
      <c r="S101" s="150" t="e">
        <v>#REF!</v>
      </c>
      <c r="T101" s="114">
        <v>0</v>
      </c>
      <c r="U101" s="109"/>
      <c r="V101" s="109"/>
      <c r="W101" s="109"/>
      <c r="X101" s="109"/>
      <c r="Y101" s="127"/>
    </row>
    <row r="102" spans="1:25">
      <c r="A102" s="216"/>
      <c r="B102" s="149" t="s">
        <v>74</v>
      </c>
      <c r="C102" s="149"/>
      <c r="D102" s="362"/>
      <c r="E102" s="362"/>
      <c r="F102" s="362"/>
      <c r="G102" s="362"/>
      <c r="H102" s="363"/>
      <c r="I102" s="362"/>
      <c r="J102" s="362"/>
      <c r="K102" s="139"/>
      <c r="L102" s="139"/>
      <c r="M102" s="139"/>
      <c r="N102" s="150"/>
      <c r="O102" s="150"/>
      <c r="P102" s="236"/>
      <c r="Q102" s="142" t="e">
        <v>#REF!</v>
      </c>
      <c r="R102" s="135" t="e">
        <v>#REF!</v>
      </c>
      <c r="S102" s="150" t="e">
        <v>#REF!</v>
      </c>
      <c r="T102" s="114">
        <v>0</v>
      </c>
      <c r="U102" s="153" t="e">
        <v>#REF!</v>
      </c>
      <c r="V102" s="109"/>
      <c r="W102" s="109"/>
      <c r="X102" s="109"/>
      <c r="Y102" s="127"/>
    </row>
    <row r="103" spans="1:25">
      <c r="A103" s="216"/>
      <c r="B103" s="149" t="s">
        <v>484</v>
      </c>
      <c r="C103" s="149"/>
      <c r="D103" s="362"/>
      <c r="E103" s="362"/>
      <c r="F103" s="362"/>
      <c r="G103" s="362"/>
      <c r="H103" s="363"/>
      <c r="I103" s="362"/>
      <c r="J103" s="362"/>
      <c r="K103" s="139"/>
      <c r="L103" s="139"/>
      <c r="M103" s="139"/>
      <c r="N103" s="150"/>
      <c r="O103" s="150"/>
      <c r="P103" s="236"/>
      <c r="Q103" s="142"/>
      <c r="R103" s="135"/>
      <c r="S103" s="150"/>
      <c r="T103" s="114"/>
      <c r="U103" s="153"/>
      <c r="V103" s="109"/>
      <c r="W103" s="109"/>
      <c r="X103" s="109"/>
      <c r="Y103" s="127"/>
    </row>
    <row r="104" spans="1:25">
      <c r="A104" s="216"/>
      <c r="B104" s="149" t="s">
        <v>485</v>
      </c>
      <c r="C104" s="149"/>
      <c r="D104" s="362"/>
      <c r="E104" s="362"/>
      <c r="F104" s="362"/>
      <c r="G104" s="362"/>
      <c r="H104" s="363"/>
      <c r="I104" s="362"/>
      <c r="J104" s="362"/>
      <c r="K104" s="139"/>
      <c r="L104" s="139"/>
      <c r="M104" s="139"/>
      <c r="N104" s="146" t="s">
        <v>29</v>
      </c>
      <c r="O104" s="146" t="s">
        <v>29</v>
      </c>
      <c r="P104" s="237" t="s">
        <v>29</v>
      </c>
      <c r="Q104" s="142">
        <v>190</v>
      </c>
      <c r="R104" s="135" t="e">
        <v>#REF!</v>
      </c>
      <c r="S104" s="150" t="e">
        <v>#REF!</v>
      </c>
      <c r="T104" s="114">
        <v>0</v>
      </c>
      <c r="U104" s="153" t="e">
        <v>#REF!</v>
      </c>
      <c r="V104" s="109"/>
      <c r="W104" s="109"/>
      <c r="X104" s="109"/>
      <c r="Y104" s="127"/>
    </row>
    <row r="105" spans="1:25">
      <c r="A105" s="218"/>
      <c r="B105" s="149" t="s">
        <v>406</v>
      </c>
      <c r="C105" s="149"/>
      <c r="D105" s="362">
        <v>26761.915211320003</v>
      </c>
      <c r="E105" s="362">
        <v>34853.524682154268</v>
      </c>
      <c r="F105" s="362">
        <v>26438.167028684769</v>
      </c>
      <c r="G105" s="362">
        <v>957.08139426391199</v>
      </c>
      <c r="H105" s="363">
        <v>1865.1355990546999</v>
      </c>
      <c r="I105" s="362">
        <v>1864.9959999999996</v>
      </c>
      <c r="J105" s="362">
        <v>1589.0258546333334</v>
      </c>
      <c r="K105" s="149">
        <v>0</v>
      </c>
      <c r="L105" s="149"/>
      <c r="M105" s="149"/>
      <c r="N105" s="139" t="s">
        <v>29</v>
      </c>
      <c r="O105" s="139" t="s">
        <v>29</v>
      </c>
      <c r="P105" s="215" t="s">
        <v>29</v>
      </c>
      <c r="Q105" s="182" t="e">
        <v>#REF!</v>
      </c>
      <c r="R105" s="139" t="e">
        <v>#REF!</v>
      </c>
      <c r="S105" s="149" t="e">
        <v>#REF!</v>
      </c>
      <c r="T105" s="114">
        <v>0</v>
      </c>
      <c r="U105" s="109"/>
      <c r="V105" s="109"/>
      <c r="W105" s="109"/>
      <c r="X105" s="109"/>
      <c r="Y105" s="127"/>
    </row>
    <row r="106" spans="1:25">
      <c r="A106" s="218" t="s">
        <v>53</v>
      </c>
      <c r="B106" s="149"/>
      <c r="C106" s="149"/>
      <c r="D106" s="362"/>
      <c r="E106" s="362"/>
      <c r="F106" s="362"/>
      <c r="G106" s="362"/>
      <c r="H106" s="363"/>
      <c r="I106" s="364"/>
      <c r="J106" s="362"/>
      <c r="K106" s="139"/>
      <c r="L106" s="139"/>
      <c r="M106" s="139"/>
      <c r="N106" s="139"/>
      <c r="O106" s="139"/>
      <c r="P106" s="215"/>
      <c r="Q106" s="143"/>
      <c r="R106" s="143"/>
      <c r="S106" s="147"/>
      <c r="T106" s="114"/>
      <c r="U106" s="109"/>
      <c r="V106" s="109"/>
      <c r="W106" s="109"/>
      <c r="X106" s="109"/>
      <c r="Y106" s="127"/>
    </row>
    <row r="107" spans="1:25">
      <c r="A107" s="218">
        <v>1</v>
      </c>
      <c r="B107" s="194" t="s">
        <v>488</v>
      </c>
      <c r="C107" s="194"/>
      <c r="D107" s="364"/>
      <c r="E107" s="362"/>
      <c r="F107" s="362"/>
      <c r="G107" s="362">
        <v>-1.3942639119477462E-3</v>
      </c>
      <c r="H107" s="363"/>
      <c r="I107" s="364"/>
      <c r="J107" s="364"/>
      <c r="K107" s="150"/>
      <c r="L107" s="150"/>
      <c r="M107" s="150"/>
      <c r="N107" s="150"/>
      <c r="O107" s="150"/>
      <c r="P107" s="236"/>
      <c r="Q107" s="127"/>
      <c r="R107" s="127"/>
      <c r="S107" s="109"/>
      <c r="T107" s="109"/>
      <c r="U107" s="109"/>
      <c r="V107" s="109"/>
      <c r="W107" s="109"/>
      <c r="X107" s="109"/>
      <c r="Y107" s="127"/>
    </row>
    <row r="108" spans="1:25">
      <c r="A108" s="218">
        <v>2</v>
      </c>
      <c r="B108" s="150" t="s">
        <v>128</v>
      </c>
      <c r="C108" s="150"/>
      <c r="D108" s="362"/>
      <c r="E108" s="362"/>
      <c r="F108" s="362"/>
      <c r="G108" s="362"/>
      <c r="H108" s="363"/>
      <c r="I108" s="364"/>
      <c r="J108" s="362"/>
      <c r="K108" s="149"/>
      <c r="L108" s="149"/>
      <c r="M108" s="149"/>
      <c r="N108" s="149"/>
      <c r="O108" s="149"/>
      <c r="P108" s="226"/>
      <c r="Q108" s="147"/>
      <c r="R108" s="147"/>
      <c r="S108" s="109"/>
      <c r="T108" s="109"/>
      <c r="U108" s="109"/>
      <c r="V108" s="109"/>
      <c r="W108" s="109"/>
      <c r="X108" s="109"/>
      <c r="Y108" s="127"/>
    </row>
    <row r="109" spans="1:25">
      <c r="A109" s="218">
        <v>3</v>
      </c>
      <c r="B109" s="150" t="s">
        <v>486</v>
      </c>
      <c r="C109" s="150"/>
      <c r="D109" s="362"/>
      <c r="E109" s="362"/>
      <c r="F109" s="362"/>
      <c r="G109" s="362"/>
      <c r="H109" s="363"/>
      <c r="I109" s="364"/>
      <c r="J109" s="364"/>
      <c r="K109" s="150"/>
      <c r="L109" s="150"/>
      <c r="M109" s="150"/>
      <c r="N109" s="150"/>
      <c r="O109" s="150"/>
      <c r="P109" s="236"/>
      <c r="Q109" s="127"/>
      <c r="R109" s="127"/>
      <c r="S109" s="109"/>
      <c r="T109" s="109"/>
      <c r="U109" s="109"/>
      <c r="V109" s="109"/>
      <c r="W109" s="109"/>
      <c r="X109" s="109"/>
      <c r="Y109" s="127"/>
    </row>
    <row r="110" spans="1:25">
      <c r="A110" s="218">
        <v>4</v>
      </c>
      <c r="B110" s="119" t="s">
        <v>52</v>
      </c>
      <c r="C110" s="119"/>
      <c r="D110" s="397"/>
      <c r="E110" s="397"/>
      <c r="F110" s="364"/>
      <c r="G110" s="364"/>
      <c r="H110" s="352"/>
      <c r="I110" s="364"/>
      <c r="J110" s="364"/>
      <c r="K110" s="119"/>
      <c r="L110" s="119"/>
      <c r="M110" s="119"/>
      <c r="N110" s="119"/>
      <c r="O110" s="119"/>
      <c r="P110" s="238"/>
      <c r="Q110" s="109"/>
      <c r="R110" s="109"/>
      <c r="S110" s="109"/>
      <c r="T110" s="109"/>
      <c r="U110" s="109"/>
      <c r="V110" s="109"/>
      <c r="W110" s="109"/>
      <c r="X110" s="109"/>
      <c r="Y110" s="127"/>
    </row>
    <row r="111" spans="1:25" ht="13.5" thickBot="1">
      <c r="A111" s="239"/>
      <c r="B111" s="240"/>
      <c r="C111" s="240"/>
      <c r="D111" s="398"/>
      <c r="E111" s="398"/>
      <c r="F111" s="399"/>
      <c r="G111" s="398"/>
      <c r="H111" s="400"/>
      <c r="I111" s="399"/>
      <c r="J111" s="399"/>
      <c r="K111" s="240"/>
      <c r="L111" s="240"/>
      <c r="M111" s="240"/>
      <c r="N111" s="240"/>
      <c r="O111" s="240"/>
      <c r="P111" s="241"/>
      <c r="Q111" s="109"/>
      <c r="R111" s="109"/>
      <c r="S111" s="109"/>
      <c r="T111" s="109"/>
      <c r="U111" s="109"/>
      <c r="V111" s="109"/>
      <c r="W111" s="109"/>
      <c r="X111" s="109"/>
      <c r="Y111" s="127"/>
    </row>
    <row r="112" spans="1:25">
      <c r="A112" s="222" t="s">
        <v>549</v>
      </c>
      <c r="B112" s="205"/>
      <c r="C112" s="205"/>
      <c r="D112" s="401"/>
      <c r="E112" s="401"/>
      <c r="F112" s="401"/>
      <c r="G112" s="401"/>
      <c r="H112" s="402"/>
      <c r="I112" s="403" t="s">
        <v>487</v>
      </c>
      <c r="J112" s="403"/>
      <c r="K112" s="205"/>
      <c r="L112" s="205"/>
      <c r="M112" s="205"/>
      <c r="N112" s="205"/>
      <c r="O112" s="205"/>
      <c r="P112" s="205"/>
      <c r="Q112" s="128"/>
      <c r="R112" s="128"/>
      <c r="S112" s="109"/>
      <c r="T112" s="109"/>
      <c r="U112" s="109"/>
      <c r="V112" s="109"/>
      <c r="W112" s="109"/>
      <c r="X112" s="109"/>
      <c r="Y112" s="127"/>
    </row>
    <row r="113" spans="1:25" ht="13.5" thickBot="1">
      <c r="A113" s="203"/>
      <c r="B113" s="141"/>
      <c r="C113" s="141"/>
      <c r="D113" s="404"/>
      <c r="E113" s="404"/>
      <c r="F113" s="404"/>
      <c r="G113" s="404"/>
      <c r="H113" s="405"/>
      <c r="I113" s="406" t="s">
        <v>51</v>
      </c>
      <c r="J113" s="406"/>
      <c r="K113" s="141"/>
      <c r="L113" s="141"/>
      <c r="M113" s="141"/>
      <c r="N113" s="141"/>
      <c r="O113" s="141"/>
      <c r="P113" s="141"/>
      <c r="Q113" s="128"/>
      <c r="R113" s="128"/>
      <c r="S113" s="109"/>
      <c r="T113" s="109"/>
      <c r="U113" s="109"/>
      <c r="V113" s="109"/>
      <c r="W113" s="109"/>
      <c r="X113" s="109"/>
      <c r="Y113" s="127"/>
    </row>
    <row r="114" spans="1:25">
      <c r="A114" s="206" t="s">
        <v>50</v>
      </c>
      <c r="B114" s="201" t="s">
        <v>49</v>
      </c>
      <c r="C114" s="201"/>
      <c r="D114" s="407" t="s">
        <v>48</v>
      </c>
      <c r="E114" s="407" t="s">
        <v>47</v>
      </c>
      <c r="F114" s="407" t="s">
        <v>95</v>
      </c>
      <c r="G114" s="407" t="s">
        <v>95</v>
      </c>
      <c r="H114" s="719" t="s">
        <v>81</v>
      </c>
      <c r="I114" s="720"/>
      <c r="J114" s="408" t="s">
        <v>82</v>
      </c>
      <c r="K114" s="219" t="s">
        <v>149</v>
      </c>
      <c r="L114" s="219" t="s">
        <v>248</v>
      </c>
      <c r="M114" s="219" t="s">
        <v>459</v>
      </c>
      <c r="N114" s="721" t="s">
        <v>45</v>
      </c>
      <c r="O114" s="721"/>
      <c r="P114" s="722"/>
      <c r="Q114" s="181" t="s">
        <v>33</v>
      </c>
      <c r="R114" s="118"/>
      <c r="S114" s="119"/>
      <c r="T114" s="131"/>
      <c r="U114" s="131"/>
      <c r="V114" s="131"/>
      <c r="W114" s="131"/>
      <c r="X114" s="131"/>
      <c r="Y114" s="127"/>
    </row>
    <row r="115" spans="1:25">
      <c r="A115" s="207"/>
      <c r="B115" s="120"/>
      <c r="C115" s="120"/>
      <c r="D115" s="409" t="s">
        <v>44</v>
      </c>
      <c r="E115" s="409" t="s">
        <v>44</v>
      </c>
      <c r="F115" s="409" t="s">
        <v>43</v>
      </c>
      <c r="G115" s="409" t="s">
        <v>550</v>
      </c>
      <c r="H115" s="410" t="s">
        <v>38</v>
      </c>
      <c r="I115" s="374" t="s">
        <v>42</v>
      </c>
      <c r="J115" s="374" t="s">
        <v>38</v>
      </c>
      <c r="K115" s="132" t="s">
        <v>64</v>
      </c>
      <c r="L115" s="132" t="s">
        <v>64</v>
      </c>
      <c r="M115" s="132" t="s">
        <v>64</v>
      </c>
      <c r="N115" s="156" t="s">
        <v>41</v>
      </c>
      <c r="O115" s="156" t="s">
        <v>40</v>
      </c>
      <c r="P115" s="208" t="s">
        <v>39</v>
      </c>
      <c r="Q115" s="185" t="s">
        <v>38</v>
      </c>
      <c r="R115" s="120" t="s">
        <v>464</v>
      </c>
      <c r="S115" s="119"/>
      <c r="T115" s="131"/>
      <c r="U115" s="131"/>
      <c r="V115" s="131"/>
      <c r="W115" s="131"/>
      <c r="X115" s="131"/>
      <c r="Y115" s="127"/>
    </row>
    <row r="116" spans="1:25" ht="13.5" thickBot="1">
      <c r="A116" s="209"/>
      <c r="B116" s="200"/>
      <c r="C116" s="200"/>
      <c r="D116" s="411"/>
      <c r="E116" s="411"/>
      <c r="F116" s="411" t="s">
        <v>465</v>
      </c>
      <c r="G116" s="411"/>
      <c r="H116" s="412"/>
      <c r="I116" s="413"/>
      <c r="J116" s="414"/>
      <c r="K116" s="200"/>
      <c r="L116" s="200"/>
      <c r="M116" s="200"/>
      <c r="N116" s="200" t="s">
        <v>37</v>
      </c>
      <c r="O116" s="200" t="s">
        <v>36</v>
      </c>
      <c r="P116" s="210" t="s">
        <v>35</v>
      </c>
      <c r="Q116" s="186" t="s">
        <v>34</v>
      </c>
      <c r="R116" s="120" t="s">
        <v>33</v>
      </c>
      <c r="S116" s="119" t="s">
        <v>466</v>
      </c>
      <c r="T116" s="131"/>
      <c r="U116" s="131"/>
      <c r="V116" s="131"/>
      <c r="W116" s="131"/>
      <c r="X116" s="131"/>
      <c r="Y116" s="127"/>
    </row>
    <row r="117" spans="1:25">
      <c r="A117" s="214" t="s">
        <v>32</v>
      </c>
      <c r="B117" s="204" t="s">
        <v>31</v>
      </c>
      <c r="C117" s="204"/>
      <c r="D117" s="415"/>
      <c r="E117" s="415"/>
      <c r="F117" s="401"/>
      <c r="G117" s="401"/>
      <c r="H117" s="402"/>
      <c r="I117" s="403"/>
      <c r="J117" s="403"/>
      <c r="K117" s="205"/>
      <c r="L117" s="205"/>
      <c r="M117" s="205"/>
      <c r="N117" s="144"/>
      <c r="O117" s="144"/>
      <c r="P117" s="242"/>
      <c r="Q117" s="164"/>
      <c r="R117" s="137"/>
      <c r="S117" s="141"/>
      <c r="T117" s="109"/>
      <c r="U117" s="109"/>
      <c r="V117" s="109"/>
      <c r="W117" s="109"/>
      <c r="X117" s="109"/>
      <c r="Y117" s="127"/>
    </row>
    <row r="118" spans="1:25" ht="15">
      <c r="A118" s="248" t="s">
        <v>30</v>
      </c>
      <c r="B118" s="340"/>
      <c r="C118" s="249"/>
      <c r="D118" s="415"/>
      <c r="E118" s="415"/>
      <c r="F118" s="401"/>
      <c r="G118" s="401"/>
      <c r="H118" s="402"/>
      <c r="I118" s="403"/>
      <c r="J118" s="403"/>
      <c r="K118" s="205"/>
      <c r="L118" s="205"/>
      <c r="M118" s="205"/>
      <c r="N118" s="144"/>
      <c r="O118" s="144"/>
      <c r="P118" s="242"/>
      <c r="Q118" s="164"/>
      <c r="R118" s="137"/>
      <c r="S118" s="134"/>
      <c r="T118" s="109"/>
      <c r="U118" s="109"/>
      <c r="V118" s="109"/>
      <c r="W118" s="109"/>
      <c r="X118" s="109"/>
      <c r="Y118" s="127"/>
    </row>
    <row r="119" spans="1:25" ht="15">
      <c r="A119" s="250">
        <v>1</v>
      </c>
      <c r="B119" s="254" t="s">
        <v>551</v>
      </c>
      <c r="C119" s="249" t="s">
        <v>162</v>
      </c>
      <c r="D119" s="372">
        <v>470.5</v>
      </c>
      <c r="E119" s="372">
        <v>514.91000000000008</v>
      </c>
      <c r="F119" s="403">
        <v>433.66870985100002</v>
      </c>
      <c r="G119" s="403">
        <v>59.104491538000005</v>
      </c>
      <c r="H119" s="402">
        <v>19.850000000000001</v>
      </c>
      <c r="I119" s="403">
        <v>69.099999999999994</v>
      </c>
      <c r="J119" s="403">
        <v>11.16</v>
      </c>
      <c r="K119" s="144"/>
      <c r="L119" s="205"/>
      <c r="M119" s="205"/>
      <c r="N119" s="144"/>
      <c r="O119" s="144"/>
      <c r="P119" s="242"/>
      <c r="Q119" s="164"/>
      <c r="R119" s="137"/>
      <c r="S119" s="134"/>
      <c r="T119" s="109"/>
      <c r="U119" s="109"/>
      <c r="V119" s="109"/>
      <c r="W119" s="109"/>
      <c r="X119" s="109"/>
      <c r="Y119" s="127"/>
    </row>
    <row r="120" spans="1:25" ht="15">
      <c r="A120" s="250">
        <v>2</v>
      </c>
      <c r="B120" s="254" t="s">
        <v>253</v>
      </c>
      <c r="C120" s="249" t="s">
        <v>163</v>
      </c>
      <c r="D120" s="372">
        <v>419.31498873800001</v>
      </c>
      <c r="E120" s="372">
        <v>460.55498873800002</v>
      </c>
      <c r="F120" s="403">
        <v>443.41682083628001</v>
      </c>
      <c r="G120" s="403">
        <v>16.504465750999998</v>
      </c>
      <c r="H120" s="402">
        <v>0</v>
      </c>
      <c r="I120" s="403">
        <v>16.5</v>
      </c>
      <c r="J120" s="403">
        <v>0</v>
      </c>
      <c r="K120" s="144"/>
      <c r="L120" s="205"/>
      <c r="M120" s="205"/>
      <c r="N120" s="144"/>
      <c r="O120" s="144"/>
      <c r="P120" s="242"/>
      <c r="Q120" s="164"/>
      <c r="R120" s="137"/>
      <c r="S120" s="134"/>
      <c r="T120" s="109"/>
      <c r="U120" s="109"/>
      <c r="V120" s="109"/>
      <c r="W120" s="109"/>
      <c r="X120" s="109"/>
      <c r="Y120" s="127"/>
    </row>
    <row r="121" spans="1:25" ht="15">
      <c r="A121" s="250">
        <v>3</v>
      </c>
      <c r="B121" s="254" t="s">
        <v>254</v>
      </c>
      <c r="C121" s="249" t="s">
        <v>164</v>
      </c>
      <c r="D121" s="372">
        <v>109.9</v>
      </c>
      <c r="E121" s="372">
        <v>122.39</v>
      </c>
      <c r="F121" s="403">
        <v>116.35079587599998</v>
      </c>
      <c r="G121" s="403">
        <v>6.0006169499999995</v>
      </c>
      <c r="H121" s="402">
        <v>0</v>
      </c>
      <c r="I121" s="403">
        <v>6.0310000000000006</v>
      </c>
      <c r="J121" s="403">
        <v>0</v>
      </c>
      <c r="K121" s="144"/>
      <c r="L121" s="205"/>
      <c r="M121" s="205"/>
      <c r="N121" s="144"/>
      <c r="O121" s="144"/>
      <c r="P121" s="242"/>
      <c r="Q121" s="164"/>
      <c r="R121" s="137"/>
      <c r="S121" s="134"/>
      <c r="T121" s="109"/>
      <c r="U121" s="109"/>
      <c r="V121" s="109"/>
      <c r="W121" s="109"/>
      <c r="X121" s="109"/>
      <c r="Y121" s="127"/>
    </row>
    <row r="122" spans="1:25" ht="15">
      <c r="A122" s="250">
        <v>4</v>
      </c>
      <c r="B122" s="254" t="s">
        <v>255</v>
      </c>
      <c r="C122" s="249" t="s">
        <v>165</v>
      </c>
      <c r="D122" s="372">
        <v>46.9</v>
      </c>
      <c r="E122" s="372">
        <v>51.032636350000004</v>
      </c>
      <c r="F122" s="403">
        <v>47.283270600000009</v>
      </c>
      <c r="G122" s="403">
        <v>0</v>
      </c>
      <c r="H122" s="402">
        <v>0</v>
      </c>
      <c r="I122" s="403">
        <v>0</v>
      </c>
      <c r="J122" s="403">
        <v>0</v>
      </c>
      <c r="K122" s="144"/>
      <c r="L122" s="205"/>
      <c r="M122" s="205"/>
      <c r="N122" s="144"/>
      <c r="O122" s="144"/>
      <c r="P122" s="242"/>
      <c r="Q122" s="164"/>
      <c r="R122" s="137"/>
      <c r="S122" s="134"/>
      <c r="T122" s="109"/>
      <c r="U122" s="109"/>
      <c r="V122" s="109"/>
      <c r="W122" s="109"/>
      <c r="X122" s="109"/>
      <c r="Y122" s="127"/>
    </row>
    <row r="123" spans="1:25" ht="15">
      <c r="A123" s="250">
        <v>5</v>
      </c>
      <c r="B123" s="254" t="s">
        <v>256</v>
      </c>
      <c r="C123" s="249" t="s">
        <v>166</v>
      </c>
      <c r="D123" s="372">
        <v>1.3</v>
      </c>
      <c r="E123" s="372">
        <v>1.45</v>
      </c>
      <c r="F123" s="403">
        <v>1.4067124999999998</v>
      </c>
      <c r="G123" s="403">
        <v>0</v>
      </c>
      <c r="H123" s="402">
        <v>0</v>
      </c>
      <c r="I123" s="403">
        <v>0</v>
      </c>
      <c r="J123" s="403">
        <v>0</v>
      </c>
      <c r="K123" s="144"/>
      <c r="L123" s="205"/>
      <c r="M123" s="205"/>
      <c r="N123" s="144"/>
      <c r="O123" s="144"/>
      <c r="P123" s="242"/>
      <c r="Q123" s="164"/>
      <c r="R123" s="137"/>
      <c r="S123" s="134"/>
      <c r="T123" s="109"/>
      <c r="U123" s="109"/>
      <c r="V123" s="109"/>
      <c r="W123" s="109"/>
      <c r="X123" s="109"/>
      <c r="Y123" s="127"/>
    </row>
    <row r="124" spans="1:25" ht="15">
      <c r="A124" s="250">
        <v>6</v>
      </c>
      <c r="B124" s="254" t="s">
        <v>257</v>
      </c>
      <c r="C124" s="249" t="s">
        <v>258</v>
      </c>
      <c r="D124" s="372">
        <v>0.6</v>
      </c>
      <c r="E124" s="372">
        <v>0.7</v>
      </c>
      <c r="F124" s="403">
        <v>0.69084829999999997</v>
      </c>
      <c r="G124" s="403">
        <v>0</v>
      </c>
      <c r="H124" s="402">
        <v>0</v>
      </c>
      <c r="I124" s="403">
        <v>0</v>
      </c>
      <c r="J124" s="403">
        <v>0</v>
      </c>
      <c r="K124" s="144"/>
      <c r="L124" s="205"/>
      <c r="M124" s="205"/>
      <c r="N124" s="144"/>
      <c r="O124" s="144"/>
      <c r="P124" s="242"/>
      <c r="Q124" s="164"/>
      <c r="R124" s="137"/>
      <c r="S124" s="134"/>
      <c r="T124" s="109"/>
      <c r="U124" s="109"/>
      <c r="V124" s="109"/>
      <c r="W124" s="109"/>
      <c r="X124" s="109"/>
      <c r="Y124" s="127"/>
    </row>
    <row r="125" spans="1:25" ht="15">
      <c r="A125" s="250">
        <v>7</v>
      </c>
      <c r="B125" s="254" t="s">
        <v>259</v>
      </c>
      <c r="C125" s="249" t="s">
        <v>260</v>
      </c>
      <c r="D125" s="372">
        <v>2</v>
      </c>
      <c r="E125" s="372">
        <v>2.5</v>
      </c>
      <c r="F125" s="403">
        <v>2.2177654000000002</v>
      </c>
      <c r="G125" s="403">
        <v>0</v>
      </c>
      <c r="H125" s="402">
        <v>0</v>
      </c>
      <c r="I125" s="403">
        <v>0</v>
      </c>
      <c r="J125" s="403">
        <v>0</v>
      </c>
      <c r="K125" s="144"/>
      <c r="L125" s="205"/>
      <c r="M125" s="205"/>
      <c r="N125" s="144"/>
      <c r="O125" s="144"/>
      <c r="P125" s="242"/>
      <c r="Q125" s="164"/>
      <c r="R125" s="137"/>
      <c r="S125" s="134"/>
      <c r="T125" s="109"/>
      <c r="U125" s="109"/>
      <c r="V125" s="109"/>
      <c r="W125" s="109"/>
      <c r="X125" s="109"/>
      <c r="Y125" s="127"/>
    </row>
    <row r="126" spans="1:25" ht="15">
      <c r="A126" s="250">
        <v>8</v>
      </c>
      <c r="B126" s="254" t="s">
        <v>261</v>
      </c>
      <c r="C126" s="249" t="s">
        <v>262</v>
      </c>
      <c r="D126" s="372">
        <v>2.1</v>
      </c>
      <c r="E126" s="372">
        <v>2.3820861198199998</v>
      </c>
      <c r="F126" s="403">
        <v>2.3279092000000001</v>
      </c>
      <c r="G126" s="403">
        <v>0</v>
      </c>
      <c r="H126" s="402">
        <v>0</v>
      </c>
      <c r="I126" s="403">
        <v>0</v>
      </c>
      <c r="J126" s="403">
        <v>0</v>
      </c>
      <c r="K126" s="144"/>
      <c r="L126" s="205"/>
      <c r="M126" s="205"/>
      <c r="N126" s="144"/>
      <c r="O126" s="144"/>
      <c r="P126" s="242"/>
      <c r="Q126" s="164"/>
      <c r="R126" s="137"/>
      <c r="S126" s="134"/>
      <c r="T126" s="109"/>
      <c r="U126" s="109"/>
      <c r="V126" s="109"/>
      <c r="W126" s="109"/>
      <c r="X126" s="109"/>
      <c r="Y126" s="127"/>
    </row>
    <row r="127" spans="1:25" ht="15">
      <c r="A127" s="250">
        <v>9</v>
      </c>
      <c r="B127" s="254" t="s">
        <v>263</v>
      </c>
      <c r="C127" s="249" t="s">
        <v>264</v>
      </c>
      <c r="D127" s="372">
        <v>0.1</v>
      </c>
      <c r="E127" s="372">
        <v>0.10105223620000001</v>
      </c>
      <c r="F127" s="403">
        <v>0</v>
      </c>
      <c r="G127" s="403">
        <v>0</v>
      </c>
      <c r="H127" s="402">
        <v>0</v>
      </c>
      <c r="I127" s="403">
        <v>0</v>
      </c>
      <c r="J127" s="403">
        <v>0</v>
      </c>
      <c r="K127" s="144"/>
      <c r="L127" s="205"/>
      <c r="M127" s="205"/>
      <c r="N127" s="144"/>
      <c r="O127" s="144"/>
      <c r="P127" s="242"/>
      <c r="Q127" s="164"/>
      <c r="R127" s="137"/>
      <c r="S127" s="134"/>
      <c r="T127" s="109"/>
      <c r="U127" s="109"/>
      <c r="V127" s="109"/>
      <c r="W127" s="109"/>
      <c r="X127" s="109"/>
      <c r="Y127" s="127"/>
    </row>
    <row r="128" spans="1:25" ht="15">
      <c r="A128" s="250">
        <v>10</v>
      </c>
      <c r="B128" s="254" t="s">
        <v>265</v>
      </c>
      <c r="C128" s="249" t="s">
        <v>266</v>
      </c>
      <c r="D128" s="372">
        <v>0.7</v>
      </c>
      <c r="E128" s="372">
        <v>0.7</v>
      </c>
      <c r="F128" s="403">
        <v>0.6869459</v>
      </c>
      <c r="G128" s="403">
        <v>0</v>
      </c>
      <c r="H128" s="402">
        <v>0</v>
      </c>
      <c r="I128" s="403">
        <v>0</v>
      </c>
      <c r="J128" s="403">
        <v>0</v>
      </c>
      <c r="K128" s="144"/>
      <c r="L128" s="205"/>
      <c r="M128" s="205"/>
      <c r="N128" s="144"/>
      <c r="O128" s="144"/>
      <c r="P128" s="242"/>
      <c r="Q128" s="164"/>
      <c r="R128" s="137"/>
      <c r="S128" s="134"/>
      <c r="T128" s="109"/>
      <c r="U128" s="109"/>
      <c r="V128" s="109"/>
      <c r="W128" s="109"/>
      <c r="X128" s="109"/>
      <c r="Y128" s="127"/>
    </row>
    <row r="129" spans="1:25" ht="15">
      <c r="A129" s="250">
        <v>11</v>
      </c>
      <c r="B129" s="254" t="s">
        <v>28</v>
      </c>
      <c r="C129" s="249" t="s">
        <v>167</v>
      </c>
      <c r="D129" s="372">
        <v>369.1</v>
      </c>
      <c r="E129" s="372">
        <v>406.12</v>
      </c>
      <c r="F129" s="403">
        <v>382.9087482764387</v>
      </c>
      <c r="G129" s="403">
        <v>14.038402497</v>
      </c>
      <c r="H129" s="402">
        <v>0</v>
      </c>
      <c r="I129" s="403">
        <v>14.04</v>
      </c>
      <c r="J129" s="403">
        <v>0</v>
      </c>
      <c r="K129" s="144"/>
      <c r="L129" s="205"/>
      <c r="M129" s="205"/>
      <c r="N129" s="144"/>
      <c r="O129" s="144"/>
      <c r="P129" s="242"/>
      <c r="Q129" s="164"/>
      <c r="R129" s="137"/>
      <c r="S129" s="134"/>
      <c r="T129" s="109"/>
      <c r="U129" s="109"/>
      <c r="V129" s="109"/>
      <c r="W129" s="109"/>
      <c r="X129" s="109"/>
      <c r="Y129" s="127"/>
    </row>
    <row r="130" spans="1:25" ht="15">
      <c r="A130" s="250">
        <v>12</v>
      </c>
      <c r="B130" s="254" t="s">
        <v>552</v>
      </c>
      <c r="C130" s="249" t="s">
        <v>168</v>
      </c>
      <c r="D130" s="372">
        <v>364.1</v>
      </c>
      <c r="E130" s="372">
        <v>394.21</v>
      </c>
      <c r="F130" s="403">
        <v>339.47105915899994</v>
      </c>
      <c r="G130" s="403">
        <v>0</v>
      </c>
      <c r="H130" s="402">
        <v>8.6199999999999992</v>
      </c>
      <c r="I130" s="403">
        <v>25.83</v>
      </c>
      <c r="J130" s="403">
        <v>8.64</v>
      </c>
      <c r="K130" s="144"/>
      <c r="L130" s="205"/>
      <c r="M130" s="205"/>
      <c r="N130" s="144"/>
      <c r="O130" s="144"/>
      <c r="P130" s="242"/>
      <c r="Q130" s="164"/>
      <c r="R130" s="137"/>
      <c r="S130" s="134"/>
      <c r="T130" s="109"/>
      <c r="U130" s="109"/>
      <c r="V130" s="109"/>
      <c r="W130" s="109"/>
      <c r="X130" s="109"/>
      <c r="Y130" s="127"/>
    </row>
    <row r="131" spans="1:25" ht="15">
      <c r="A131" s="250">
        <v>13</v>
      </c>
      <c r="B131" s="254" t="s">
        <v>553</v>
      </c>
      <c r="C131" s="249" t="s">
        <v>169</v>
      </c>
      <c r="D131" s="372">
        <v>20.514781244999998</v>
      </c>
      <c r="E131" s="372">
        <v>21.456081245</v>
      </c>
      <c r="F131" s="403">
        <v>20.437809185999996</v>
      </c>
      <c r="G131" s="403">
        <v>0</v>
      </c>
      <c r="H131" s="402">
        <v>0</v>
      </c>
      <c r="I131" s="403">
        <v>0</v>
      </c>
      <c r="J131" s="403">
        <v>0</v>
      </c>
      <c r="K131" s="144"/>
      <c r="L131" s="205"/>
      <c r="M131" s="205"/>
      <c r="N131" s="144"/>
      <c r="O131" s="144"/>
      <c r="P131" s="242"/>
      <c r="Q131" s="164"/>
      <c r="R131" s="137"/>
      <c r="S131" s="134"/>
      <c r="T131" s="109"/>
      <c r="U131" s="109"/>
      <c r="V131" s="109"/>
      <c r="W131" s="109"/>
      <c r="X131" s="109"/>
      <c r="Y131" s="127"/>
    </row>
    <row r="132" spans="1:25" ht="15">
      <c r="A132" s="250">
        <v>14</v>
      </c>
      <c r="B132" s="254" t="s">
        <v>554</v>
      </c>
      <c r="C132" s="249" t="s">
        <v>170</v>
      </c>
      <c r="D132" s="372">
        <v>290.72577581000002</v>
      </c>
      <c r="E132" s="372">
        <v>310.07577581000004</v>
      </c>
      <c r="F132" s="403">
        <v>261.45853761900003</v>
      </c>
      <c r="G132" s="403">
        <v>1.0749052130000001</v>
      </c>
      <c r="H132" s="402">
        <v>24.03</v>
      </c>
      <c r="I132" s="403">
        <v>16.450000000000003</v>
      </c>
      <c r="J132" s="403">
        <v>21.759999999999998</v>
      </c>
      <c r="K132" s="144"/>
      <c r="L132" s="205"/>
      <c r="M132" s="205"/>
      <c r="N132" s="144"/>
      <c r="O132" s="144"/>
      <c r="P132" s="242"/>
      <c r="Q132" s="164"/>
      <c r="R132" s="137"/>
      <c r="S132" s="134"/>
      <c r="T132" s="109"/>
      <c r="U132" s="109"/>
      <c r="V132" s="109"/>
      <c r="W132" s="109"/>
      <c r="X132" s="109"/>
      <c r="Y132" s="127"/>
    </row>
    <row r="133" spans="1:25" ht="15">
      <c r="A133" s="251" t="s">
        <v>555</v>
      </c>
      <c r="B133" s="340"/>
      <c r="C133" s="252"/>
      <c r="D133" s="372"/>
      <c r="E133" s="372"/>
      <c r="F133" s="403"/>
      <c r="G133" s="403"/>
      <c r="H133" s="402"/>
      <c r="I133" s="403"/>
      <c r="J133" s="403"/>
      <c r="K133" s="144"/>
      <c r="L133" s="205"/>
      <c r="M133" s="205"/>
      <c r="N133" s="144"/>
      <c r="O133" s="144"/>
      <c r="P133" s="242"/>
      <c r="Q133" s="164"/>
      <c r="R133" s="137"/>
      <c r="S133" s="134"/>
      <c r="T133" s="109"/>
      <c r="U133" s="109"/>
      <c r="V133" s="109"/>
      <c r="W133" s="109"/>
      <c r="X133" s="109"/>
      <c r="Y133" s="127"/>
    </row>
    <row r="134" spans="1:25" ht="15">
      <c r="A134" s="250">
        <v>15</v>
      </c>
      <c r="B134" s="254" t="s">
        <v>556</v>
      </c>
      <c r="C134" s="249" t="s">
        <v>171</v>
      </c>
      <c r="D134" s="372">
        <v>1682.8</v>
      </c>
      <c r="E134" s="372">
        <v>1906.48</v>
      </c>
      <c r="F134" s="403">
        <v>1806.4708531213341</v>
      </c>
      <c r="G134" s="403">
        <v>77.658657201999986</v>
      </c>
      <c r="H134" s="402">
        <v>59.6</v>
      </c>
      <c r="I134" s="403">
        <v>99.69</v>
      </c>
      <c r="J134" s="403">
        <v>0</v>
      </c>
      <c r="K134" s="144"/>
      <c r="L134" s="205"/>
      <c r="M134" s="205"/>
      <c r="N134" s="144"/>
      <c r="O134" s="144"/>
      <c r="P134" s="242"/>
      <c r="Q134" s="164"/>
      <c r="R134" s="137"/>
      <c r="S134" s="134"/>
      <c r="T134" s="109"/>
      <c r="U134" s="109"/>
      <c r="V134" s="109"/>
      <c r="W134" s="109"/>
      <c r="X134" s="109"/>
      <c r="Y134" s="127"/>
    </row>
    <row r="135" spans="1:25" ht="15">
      <c r="A135" s="250">
        <v>16</v>
      </c>
      <c r="B135" s="254" t="s">
        <v>557</v>
      </c>
      <c r="C135" s="249" t="s">
        <v>172</v>
      </c>
      <c r="D135" s="372">
        <v>314.10000000000002</v>
      </c>
      <c r="E135" s="372">
        <v>338.56</v>
      </c>
      <c r="F135" s="403">
        <v>285.67001824060003</v>
      </c>
      <c r="G135" s="403">
        <v>19.645294105500003</v>
      </c>
      <c r="H135" s="402">
        <v>10.199999999999999</v>
      </c>
      <c r="I135" s="403">
        <v>22.15</v>
      </c>
      <c r="J135" s="403">
        <v>7.76</v>
      </c>
      <c r="K135" s="144"/>
      <c r="L135" s="205"/>
      <c r="M135" s="205"/>
      <c r="N135" s="144"/>
      <c r="O135" s="144"/>
      <c r="P135" s="242"/>
      <c r="Q135" s="164"/>
      <c r="R135" s="137"/>
      <c r="S135" s="134"/>
      <c r="T135" s="109"/>
      <c r="U135" s="109"/>
      <c r="V135" s="109"/>
      <c r="W135" s="109"/>
      <c r="X135" s="109"/>
      <c r="Y135" s="127"/>
    </row>
    <row r="136" spans="1:25" ht="15">
      <c r="A136" s="250">
        <v>17</v>
      </c>
      <c r="B136" s="254" t="s">
        <v>558</v>
      </c>
      <c r="C136" s="249" t="s">
        <v>173</v>
      </c>
      <c r="D136" s="372">
        <v>176.8</v>
      </c>
      <c r="E136" s="372">
        <v>194.97</v>
      </c>
      <c r="F136" s="403">
        <v>173.990632914</v>
      </c>
      <c r="G136" s="403">
        <v>16.943302915999997</v>
      </c>
      <c r="H136" s="402">
        <v>5.6</v>
      </c>
      <c r="I136" s="403">
        <v>20.810000000000002</v>
      </c>
      <c r="J136" s="403">
        <v>0</v>
      </c>
      <c r="K136" s="144"/>
      <c r="L136" s="205"/>
      <c r="M136" s="205"/>
      <c r="N136" s="144"/>
      <c r="O136" s="144"/>
      <c r="P136" s="242"/>
      <c r="Q136" s="164"/>
      <c r="R136" s="137"/>
      <c r="S136" s="134"/>
      <c r="T136" s="109"/>
      <c r="U136" s="109"/>
      <c r="V136" s="109"/>
      <c r="W136" s="109"/>
      <c r="X136" s="109"/>
      <c r="Y136" s="127"/>
    </row>
    <row r="137" spans="1:25" ht="15">
      <c r="A137" s="250">
        <v>18</v>
      </c>
      <c r="B137" s="254" t="s">
        <v>559</v>
      </c>
      <c r="C137" s="249" t="s">
        <v>174</v>
      </c>
      <c r="D137" s="372">
        <v>26.3</v>
      </c>
      <c r="E137" s="372">
        <v>27.516999999999999</v>
      </c>
      <c r="F137" s="403">
        <v>26.452826565000006</v>
      </c>
      <c r="G137" s="403">
        <v>0</v>
      </c>
      <c r="H137" s="402">
        <v>0</v>
      </c>
      <c r="I137" s="403">
        <v>0</v>
      </c>
      <c r="J137" s="403">
        <v>0</v>
      </c>
      <c r="K137" s="144"/>
      <c r="L137" s="205"/>
      <c r="M137" s="205"/>
      <c r="N137" s="144"/>
      <c r="O137" s="144"/>
      <c r="P137" s="242"/>
      <c r="Q137" s="164"/>
      <c r="R137" s="137"/>
      <c r="S137" s="134"/>
      <c r="T137" s="109"/>
      <c r="U137" s="109"/>
      <c r="V137" s="109"/>
      <c r="W137" s="109"/>
      <c r="X137" s="109"/>
      <c r="Y137" s="127"/>
    </row>
    <row r="138" spans="1:25" ht="15">
      <c r="A138" s="250">
        <v>19</v>
      </c>
      <c r="B138" s="254" t="s">
        <v>560</v>
      </c>
      <c r="C138" s="249" t="s">
        <v>175</v>
      </c>
      <c r="D138" s="372">
        <v>263</v>
      </c>
      <c r="E138" s="372">
        <v>287.43950000000001</v>
      </c>
      <c r="F138" s="403">
        <v>261.04746306600003</v>
      </c>
      <c r="G138" s="403">
        <v>8.8097399999999992E-2</v>
      </c>
      <c r="H138" s="402">
        <v>19.88</v>
      </c>
      <c r="I138" s="403">
        <v>16.2</v>
      </c>
      <c r="J138" s="403">
        <v>0</v>
      </c>
      <c r="K138" s="144"/>
      <c r="L138" s="205"/>
      <c r="M138" s="205"/>
      <c r="N138" s="144"/>
      <c r="O138" s="144"/>
      <c r="P138" s="242"/>
      <c r="Q138" s="164"/>
      <c r="R138" s="137"/>
      <c r="S138" s="134"/>
      <c r="T138" s="109"/>
      <c r="U138" s="109"/>
      <c r="V138" s="109"/>
      <c r="W138" s="109"/>
      <c r="X138" s="109"/>
      <c r="Y138" s="127"/>
    </row>
    <row r="139" spans="1:25" ht="15">
      <c r="A139" s="250">
        <v>20</v>
      </c>
      <c r="B139" s="254" t="s">
        <v>561</v>
      </c>
      <c r="C139" s="249" t="s">
        <v>176</v>
      </c>
      <c r="D139" s="372">
        <v>666.7</v>
      </c>
      <c r="E139" s="372">
        <v>764.65</v>
      </c>
      <c r="F139" s="403">
        <v>760.35191927175026</v>
      </c>
      <c r="G139" s="403">
        <v>4.3026805995452007</v>
      </c>
      <c r="H139" s="402">
        <v>0</v>
      </c>
      <c r="I139" s="403">
        <v>4.3</v>
      </c>
      <c r="J139" s="403">
        <v>0</v>
      </c>
      <c r="K139" s="144"/>
      <c r="L139" s="205"/>
      <c r="M139" s="205"/>
      <c r="N139" s="144"/>
      <c r="O139" s="144"/>
      <c r="P139" s="242"/>
      <c r="Q139" s="164"/>
      <c r="R139" s="137"/>
      <c r="S139" s="134"/>
      <c r="T139" s="109"/>
      <c r="U139" s="109"/>
      <c r="V139" s="109"/>
      <c r="W139" s="109"/>
      <c r="X139" s="109"/>
      <c r="Y139" s="127"/>
    </row>
    <row r="140" spans="1:25" ht="15">
      <c r="A140" s="250">
        <v>21</v>
      </c>
      <c r="B140" s="254" t="s">
        <v>562</v>
      </c>
      <c r="C140" s="249" t="s">
        <v>177</v>
      </c>
      <c r="D140" s="372">
        <v>121.7</v>
      </c>
      <c r="E140" s="372">
        <v>133.20410000000001</v>
      </c>
      <c r="F140" s="403">
        <v>104.64834835099998</v>
      </c>
      <c r="G140" s="403">
        <v>3.9434119709999997</v>
      </c>
      <c r="H140" s="402">
        <v>12.45</v>
      </c>
      <c r="I140" s="403">
        <v>6.8599999999999994</v>
      </c>
      <c r="J140" s="403">
        <v>0</v>
      </c>
      <c r="K140" s="144"/>
      <c r="L140" s="205"/>
      <c r="M140" s="205"/>
      <c r="N140" s="144"/>
      <c r="O140" s="144"/>
      <c r="P140" s="242"/>
      <c r="Q140" s="164"/>
      <c r="R140" s="137"/>
      <c r="S140" s="134"/>
      <c r="T140" s="109"/>
      <c r="U140" s="109"/>
      <c r="V140" s="109"/>
      <c r="W140" s="109"/>
      <c r="X140" s="109"/>
      <c r="Y140" s="127"/>
    </row>
    <row r="141" spans="1:25" ht="15">
      <c r="A141" s="250">
        <v>22</v>
      </c>
      <c r="B141" s="254" t="s">
        <v>563</v>
      </c>
      <c r="C141" s="249" t="s">
        <v>178</v>
      </c>
      <c r="D141" s="372">
        <v>570.20000000000005</v>
      </c>
      <c r="E141" s="372">
        <v>604.24000000000012</v>
      </c>
      <c r="F141" s="403">
        <v>520.52096003500003</v>
      </c>
      <c r="G141" s="403">
        <v>17.181400854</v>
      </c>
      <c r="H141" s="402">
        <v>13.84</v>
      </c>
      <c r="I141" s="403">
        <v>17.2</v>
      </c>
      <c r="J141" s="403">
        <v>0</v>
      </c>
      <c r="K141" s="144"/>
      <c r="L141" s="205"/>
      <c r="M141" s="205"/>
      <c r="N141" s="144"/>
      <c r="O141" s="144"/>
      <c r="P141" s="242"/>
      <c r="Q141" s="164"/>
      <c r="R141" s="137"/>
      <c r="S141" s="134"/>
      <c r="T141" s="109"/>
      <c r="U141" s="109"/>
      <c r="V141" s="109"/>
      <c r="W141" s="109"/>
      <c r="X141" s="109"/>
      <c r="Y141" s="127"/>
    </row>
    <row r="142" spans="1:25" ht="15">
      <c r="A142" s="250">
        <v>23</v>
      </c>
      <c r="B142" s="254" t="s">
        <v>564</v>
      </c>
      <c r="C142" s="249" t="s">
        <v>179</v>
      </c>
      <c r="D142" s="372">
        <v>135.9</v>
      </c>
      <c r="E142" s="372">
        <v>153.69</v>
      </c>
      <c r="F142" s="403">
        <v>149.67849580700002</v>
      </c>
      <c r="G142" s="403">
        <v>0</v>
      </c>
      <c r="H142" s="402">
        <v>0</v>
      </c>
      <c r="I142" s="403">
        <v>0</v>
      </c>
      <c r="J142" s="403">
        <v>0</v>
      </c>
      <c r="K142" s="144"/>
      <c r="L142" s="205"/>
      <c r="M142" s="205"/>
      <c r="N142" s="144"/>
      <c r="O142" s="144"/>
      <c r="P142" s="242"/>
      <c r="Q142" s="164"/>
      <c r="R142" s="137"/>
      <c r="S142" s="134"/>
      <c r="T142" s="109"/>
      <c r="U142" s="109"/>
      <c r="V142" s="109"/>
      <c r="W142" s="109"/>
      <c r="X142" s="109"/>
      <c r="Y142" s="127"/>
    </row>
    <row r="143" spans="1:25" ht="15">
      <c r="A143" s="251" t="s">
        <v>25</v>
      </c>
      <c r="B143" s="340"/>
      <c r="C143" s="252"/>
      <c r="D143" s="372"/>
      <c r="E143" s="372"/>
      <c r="F143" s="403"/>
      <c r="G143" s="403"/>
      <c r="H143" s="402"/>
      <c r="I143" s="403"/>
      <c r="J143" s="403"/>
      <c r="K143" s="144"/>
      <c r="L143" s="205"/>
      <c r="M143" s="205"/>
      <c r="N143" s="144"/>
      <c r="O143" s="144"/>
      <c r="P143" s="242"/>
      <c r="Q143" s="164"/>
      <c r="R143" s="137"/>
      <c r="S143" s="134"/>
      <c r="T143" s="109"/>
      <c r="U143" s="109"/>
      <c r="V143" s="109"/>
      <c r="W143" s="109"/>
      <c r="X143" s="109"/>
      <c r="Y143" s="127"/>
    </row>
    <row r="144" spans="1:25" ht="15">
      <c r="A144" s="250">
        <v>24</v>
      </c>
      <c r="B144" s="254" t="s">
        <v>565</v>
      </c>
      <c r="C144" s="249" t="s">
        <v>181</v>
      </c>
      <c r="D144" s="372">
        <v>-54.618891654000002</v>
      </c>
      <c r="E144" s="372">
        <v>53</v>
      </c>
      <c r="F144" s="403">
        <v>52.288090036000014</v>
      </c>
      <c r="G144" s="403">
        <v>0</v>
      </c>
      <c r="H144" s="402">
        <v>0</v>
      </c>
      <c r="I144" s="403">
        <v>0</v>
      </c>
      <c r="J144" s="403">
        <v>0</v>
      </c>
      <c r="K144" s="144"/>
      <c r="L144" s="205"/>
      <c r="M144" s="205"/>
      <c r="N144" s="144"/>
      <c r="O144" s="144"/>
      <c r="P144" s="242"/>
      <c r="Q144" s="164"/>
      <c r="R144" s="137"/>
      <c r="S144" s="134"/>
      <c r="T144" s="109"/>
      <c r="U144" s="109"/>
      <c r="V144" s="109"/>
      <c r="W144" s="109"/>
      <c r="X144" s="109"/>
      <c r="Y144" s="127"/>
    </row>
    <row r="145" spans="1:25" ht="15">
      <c r="A145" s="250">
        <v>25</v>
      </c>
      <c r="B145" s="254" t="s">
        <v>267</v>
      </c>
      <c r="C145" s="249" t="s">
        <v>182</v>
      </c>
      <c r="D145" s="372">
        <v>374.56122569600006</v>
      </c>
      <c r="E145" s="372">
        <v>430.56122569600001</v>
      </c>
      <c r="F145" s="403">
        <v>404.67021843155425</v>
      </c>
      <c r="G145" s="403">
        <v>3.7651647640000006</v>
      </c>
      <c r="H145" s="402">
        <v>11.09</v>
      </c>
      <c r="I145" s="403">
        <v>13.99</v>
      </c>
      <c r="J145" s="403">
        <v>11</v>
      </c>
      <c r="K145" s="144"/>
      <c r="L145" s="205"/>
      <c r="M145" s="205"/>
      <c r="N145" s="144"/>
      <c r="O145" s="144"/>
      <c r="P145" s="242"/>
      <c r="Q145" s="164"/>
      <c r="R145" s="137"/>
      <c r="S145" s="134"/>
      <c r="T145" s="109"/>
      <c r="U145" s="109"/>
      <c r="V145" s="109"/>
      <c r="W145" s="109"/>
      <c r="X145" s="109"/>
      <c r="Y145" s="127"/>
    </row>
    <row r="146" spans="1:25" ht="15">
      <c r="A146" s="250">
        <v>26</v>
      </c>
      <c r="B146" s="254" t="s">
        <v>268</v>
      </c>
      <c r="C146" s="249" t="s">
        <v>183</v>
      </c>
      <c r="D146" s="372">
        <v>78.50992775600001</v>
      </c>
      <c r="E146" s="372">
        <v>84.636342756000019</v>
      </c>
      <c r="F146" s="403">
        <v>74.643075334724244</v>
      </c>
      <c r="G146" s="403">
        <v>0</v>
      </c>
      <c r="H146" s="402">
        <v>0</v>
      </c>
      <c r="I146" s="403">
        <v>0</v>
      </c>
      <c r="J146" s="403">
        <v>0</v>
      </c>
      <c r="K146" s="144"/>
      <c r="L146" s="205"/>
      <c r="M146" s="205"/>
      <c r="N146" s="144"/>
      <c r="O146" s="144"/>
      <c r="P146" s="242"/>
      <c r="Q146" s="164"/>
      <c r="R146" s="137"/>
      <c r="S146" s="134"/>
      <c r="T146" s="109"/>
      <c r="U146" s="109"/>
      <c r="V146" s="109"/>
      <c r="W146" s="109"/>
      <c r="X146" s="109"/>
      <c r="Y146" s="127"/>
    </row>
    <row r="147" spans="1:25" ht="15">
      <c r="A147" s="250">
        <v>27</v>
      </c>
      <c r="B147" s="254" t="s">
        <v>269</v>
      </c>
      <c r="C147" s="249" t="s">
        <v>184</v>
      </c>
      <c r="D147" s="372">
        <v>725.03561375100003</v>
      </c>
      <c r="E147" s="372">
        <v>735.12561375100006</v>
      </c>
      <c r="F147" s="403">
        <v>597.65468911089238</v>
      </c>
      <c r="G147" s="403">
        <v>0</v>
      </c>
      <c r="H147" s="402">
        <v>0</v>
      </c>
      <c r="I147" s="403">
        <v>0</v>
      </c>
      <c r="J147" s="403">
        <v>0</v>
      </c>
      <c r="K147" s="144"/>
      <c r="L147" s="205"/>
      <c r="M147" s="205"/>
      <c r="N147" s="144"/>
      <c r="O147" s="144"/>
      <c r="P147" s="242"/>
      <c r="Q147" s="164"/>
      <c r="R147" s="137"/>
      <c r="S147" s="134"/>
      <c r="T147" s="109"/>
      <c r="U147" s="109"/>
      <c r="V147" s="109"/>
      <c r="W147" s="109"/>
      <c r="X147" s="109"/>
      <c r="Y147" s="127"/>
    </row>
    <row r="148" spans="1:25" ht="15">
      <c r="A148" s="250">
        <v>28</v>
      </c>
      <c r="B148" s="254" t="s">
        <v>270</v>
      </c>
      <c r="C148" s="254" t="s">
        <v>271</v>
      </c>
      <c r="D148" s="372">
        <v>10.652402434999999</v>
      </c>
      <c r="E148" s="372">
        <v>18.652402434999999</v>
      </c>
      <c r="F148" s="403">
        <v>16.982790660999996</v>
      </c>
      <c r="G148" s="403">
        <v>0.28228651600000004</v>
      </c>
      <c r="H148" s="402">
        <v>1.4099999999999997</v>
      </c>
      <c r="I148" s="403">
        <v>0.77</v>
      </c>
      <c r="J148" s="403">
        <v>0</v>
      </c>
      <c r="K148" s="144"/>
      <c r="L148" s="205"/>
      <c r="M148" s="205"/>
      <c r="N148" s="144"/>
      <c r="O148" s="144"/>
      <c r="P148" s="242"/>
      <c r="Q148" s="164"/>
      <c r="R148" s="137"/>
      <c r="S148" s="134"/>
      <c r="T148" s="109"/>
      <c r="U148" s="109"/>
      <c r="V148" s="109"/>
      <c r="W148" s="109"/>
      <c r="X148" s="109"/>
      <c r="Y148" s="127"/>
    </row>
    <row r="149" spans="1:25" ht="15">
      <c r="A149" s="250">
        <v>29</v>
      </c>
      <c r="B149" s="254" t="s">
        <v>272</v>
      </c>
      <c r="C149" s="254" t="s">
        <v>273</v>
      </c>
      <c r="D149" s="372">
        <v>12.979990506</v>
      </c>
      <c r="E149" s="372">
        <v>23.979990506</v>
      </c>
      <c r="F149" s="403">
        <v>21.111791216</v>
      </c>
      <c r="G149" s="403">
        <v>1.1939523190000001</v>
      </c>
      <c r="H149" s="402">
        <v>1.4000000000000001</v>
      </c>
      <c r="I149" s="403">
        <v>1.91</v>
      </c>
      <c r="J149" s="403">
        <v>0</v>
      </c>
      <c r="K149" s="144"/>
      <c r="L149" s="205"/>
      <c r="M149" s="205"/>
      <c r="N149" s="144"/>
      <c r="O149" s="144"/>
      <c r="P149" s="242"/>
      <c r="Q149" s="164"/>
      <c r="R149" s="137"/>
      <c r="S149" s="134"/>
      <c r="T149" s="109"/>
      <c r="U149" s="109"/>
      <c r="V149" s="109"/>
      <c r="W149" s="109"/>
      <c r="X149" s="109"/>
      <c r="Y149" s="127"/>
    </row>
    <row r="150" spans="1:25" ht="15">
      <c r="A150" s="250">
        <v>30</v>
      </c>
      <c r="B150" s="254" t="s">
        <v>274</v>
      </c>
      <c r="C150" s="254" t="s">
        <v>275</v>
      </c>
      <c r="D150" s="372">
        <v>13.683834509</v>
      </c>
      <c r="E150" s="372">
        <v>18.683834509</v>
      </c>
      <c r="F150" s="403">
        <v>17.427810253999997</v>
      </c>
      <c r="G150" s="403">
        <v>0.47277513499999996</v>
      </c>
      <c r="H150" s="402">
        <v>1</v>
      </c>
      <c r="I150" s="403">
        <v>0.79</v>
      </c>
      <c r="J150" s="403">
        <v>0</v>
      </c>
      <c r="K150" s="144"/>
      <c r="L150" s="205"/>
      <c r="M150" s="205"/>
      <c r="N150" s="144"/>
      <c r="O150" s="144"/>
      <c r="P150" s="242"/>
      <c r="Q150" s="164"/>
      <c r="R150" s="137"/>
      <c r="S150" s="134"/>
      <c r="T150" s="109"/>
      <c r="U150" s="109"/>
      <c r="V150" s="109"/>
      <c r="W150" s="109"/>
      <c r="X150" s="109"/>
      <c r="Y150" s="127"/>
    </row>
    <row r="151" spans="1:25" ht="15">
      <c r="A151" s="250">
        <v>31</v>
      </c>
      <c r="B151" s="254" t="s">
        <v>276</v>
      </c>
      <c r="C151" s="254" t="s">
        <v>277</v>
      </c>
      <c r="D151" s="372">
        <v>22.186474432000001</v>
      </c>
      <c r="E151" s="372">
        <v>22.186474432000001</v>
      </c>
      <c r="F151" s="403">
        <v>13.882830039999998</v>
      </c>
      <c r="G151" s="403">
        <v>0.65320639899999988</v>
      </c>
      <c r="H151" s="402">
        <v>2.69</v>
      </c>
      <c r="I151" s="403">
        <v>1.1400000000000001</v>
      </c>
      <c r="J151" s="403">
        <v>0</v>
      </c>
      <c r="K151" s="144"/>
      <c r="L151" s="205"/>
      <c r="M151" s="205"/>
      <c r="N151" s="144"/>
      <c r="O151" s="144"/>
      <c r="P151" s="242"/>
      <c r="Q151" s="164"/>
      <c r="R151" s="137"/>
      <c r="S151" s="134"/>
      <c r="T151" s="109"/>
      <c r="U151" s="109"/>
      <c r="V151" s="109"/>
      <c r="W151" s="109"/>
      <c r="X151" s="109"/>
      <c r="Y151" s="127"/>
    </row>
    <row r="152" spans="1:25" ht="15">
      <c r="A152" s="250">
        <v>32</v>
      </c>
      <c r="B152" s="254" t="s">
        <v>278</v>
      </c>
      <c r="C152" s="254" t="s">
        <v>279</v>
      </c>
      <c r="D152" s="372">
        <v>28.535641811000001</v>
      </c>
      <c r="E152" s="372">
        <v>28.535641811000001</v>
      </c>
      <c r="F152" s="403">
        <v>18.263056749</v>
      </c>
      <c r="G152" s="403">
        <v>0.26430514600000005</v>
      </c>
      <c r="H152" s="402">
        <v>0</v>
      </c>
      <c r="I152" s="403">
        <v>0.84</v>
      </c>
      <c r="J152" s="403">
        <v>0</v>
      </c>
      <c r="K152" s="144"/>
      <c r="L152" s="205"/>
      <c r="M152" s="205"/>
      <c r="N152" s="144"/>
      <c r="O152" s="144"/>
      <c r="P152" s="242"/>
      <c r="Q152" s="164"/>
      <c r="R152" s="137"/>
      <c r="S152" s="134"/>
      <c r="T152" s="109"/>
      <c r="U152" s="109"/>
      <c r="V152" s="109"/>
      <c r="W152" s="109"/>
      <c r="X152" s="109"/>
      <c r="Y152" s="127"/>
    </row>
    <row r="153" spans="1:25" ht="15">
      <c r="A153" s="253">
        <v>33</v>
      </c>
      <c r="B153" s="254" t="s">
        <v>566</v>
      </c>
      <c r="C153" s="254" t="s">
        <v>280</v>
      </c>
      <c r="D153" s="372">
        <v>32.4</v>
      </c>
      <c r="E153" s="372">
        <v>32.4</v>
      </c>
      <c r="F153" s="403">
        <v>16.101877933000001</v>
      </c>
      <c r="G153" s="403">
        <v>0.63997216200000007</v>
      </c>
      <c r="H153" s="402">
        <v>4</v>
      </c>
      <c r="I153" s="403">
        <v>0.64</v>
      </c>
      <c r="J153" s="403">
        <v>0</v>
      </c>
      <c r="K153" s="144"/>
      <c r="L153" s="205"/>
      <c r="M153" s="205"/>
      <c r="N153" s="144"/>
      <c r="O153" s="144"/>
      <c r="P153" s="242"/>
      <c r="Q153" s="164"/>
      <c r="R153" s="137"/>
      <c r="S153" s="134"/>
      <c r="T153" s="109"/>
      <c r="U153" s="109"/>
      <c r="V153" s="109"/>
      <c r="W153" s="109"/>
      <c r="X153" s="109"/>
      <c r="Y153" s="127"/>
    </row>
    <row r="154" spans="1:25" ht="15">
      <c r="A154" s="250">
        <v>34</v>
      </c>
      <c r="B154" s="254" t="s">
        <v>567</v>
      </c>
      <c r="C154" s="249" t="s">
        <v>185</v>
      </c>
      <c r="D154" s="372">
        <v>1373</v>
      </c>
      <c r="E154" s="372">
        <v>1578.6096</v>
      </c>
      <c r="F154" s="403">
        <v>1445.4517807936336</v>
      </c>
      <c r="G154" s="403">
        <v>1.926982975</v>
      </c>
      <c r="H154" s="402">
        <v>44.35</v>
      </c>
      <c r="I154" s="403">
        <v>26.754999999999999</v>
      </c>
      <c r="J154" s="403">
        <v>0</v>
      </c>
      <c r="K154" s="144"/>
      <c r="L154" s="205"/>
      <c r="M154" s="205"/>
      <c r="N154" s="144"/>
      <c r="O154" s="144"/>
      <c r="P154" s="242"/>
      <c r="Q154" s="164"/>
      <c r="R154" s="137"/>
      <c r="S154" s="134"/>
      <c r="T154" s="109"/>
      <c r="U154" s="109"/>
      <c r="V154" s="109"/>
      <c r="W154" s="109"/>
      <c r="X154" s="109"/>
      <c r="Y154" s="127"/>
    </row>
    <row r="155" spans="1:25" ht="15">
      <c r="A155" s="250">
        <v>35</v>
      </c>
      <c r="B155" s="254" t="s">
        <v>568</v>
      </c>
      <c r="C155" s="249" t="s">
        <v>186</v>
      </c>
      <c r="D155" s="372">
        <v>250.2</v>
      </c>
      <c r="E155" s="372">
        <v>301.47000000000003</v>
      </c>
      <c r="F155" s="403">
        <v>279.64313059321455</v>
      </c>
      <c r="G155" s="403">
        <v>7.6538994134999996</v>
      </c>
      <c r="H155" s="402">
        <v>10.030000000000001</v>
      </c>
      <c r="I155" s="403">
        <v>16.100000000000001</v>
      </c>
      <c r="J155" s="403">
        <v>5.67</v>
      </c>
      <c r="K155" s="144"/>
      <c r="L155" s="205"/>
      <c r="M155" s="205"/>
      <c r="N155" s="144"/>
      <c r="O155" s="144"/>
      <c r="P155" s="242"/>
      <c r="Q155" s="164"/>
      <c r="R155" s="137"/>
      <c r="S155" s="134"/>
      <c r="T155" s="109"/>
      <c r="U155" s="109"/>
      <c r="V155" s="109"/>
      <c r="W155" s="109"/>
      <c r="X155" s="109"/>
      <c r="Y155" s="127"/>
    </row>
    <row r="156" spans="1:25" ht="15">
      <c r="A156" s="253">
        <v>36</v>
      </c>
      <c r="B156" s="254" t="s">
        <v>281</v>
      </c>
      <c r="C156" s="254" t="s">
        <v>282</v>
      </c>
      <c r="D156" s="372">
        <v>4.7</v>
      </c>
      <c r="E156" s="372">
        <v>4.7004000000000001</v>
      </c>
      <c r="F156" s="403">
        <v>1.8211755839999997</v>
      </c>
      <c r="G156" s="403">
        <v>0</v>
      </c>
      <c r="H156" s="402">
        <v>0</v>
      </c>
      <c r="I156" s="403">
        <v>0</v>
      </c>
      <c r="J156" s="403">
        <v>0</v>
      </c>
      <c r="K156" s="144"/>
      <c r="L156" s="205"/>
      <c r="M156" s="205"/>
      <c r="N156" s="144"/>
      <c r="O156" s="144"/>
      <c r="P156" s="242"/>
      <c r="Q156" s="164"/>
      <c r="R156" s="137"/>
      <c r="S156" s="134"/>
      <c r="T156" s="109"/>
      <c r="U156" s="109"/>
      <c r="V156" s="109"/>
      <c r="W156" s="109"/>
      <c r="X156" s="109"/>
      <c r="Y156" s="127"/>
    </row>
    <row r="157" spans="1:25" ht="15">
      <c r="A157" s="250">
        <v>37</v>
      </c>
      <c r="B157" s="254" t="s">
        <v>569</v>
      </c>
      <c r="C157" s="249" t="s">
        <v>187</v>
      </c>
      <c r="D157" s="372">
        <v>789.1</v>
      </c>
      <c r="E157" s="372">
        <v>909.87020000000007</v>
      </c>
      <c r="F157" s="403">
        <v>783.3030961380673</v>
      </c>
      <c r="G157" s="403">
        <v>53.005082191630009</v>
      </c>
      <c r="H157" s="402">
        <v>16.5</v>
      </c>
      <c r="I157" s="403">
        <v>53.01</v>
      </c>
      <c r="J157" s="403">
        <v>0</v>
      </c>
      <c r="K157" s="144"/>
      <c r="L157" s="205"/>
      <c r="M157" s="205"/>
      <c r="N157" s="144"/>
      <c r="O157" s="144"/>
      <c r="P157" s="242"/>
      <c r="Q157" s="164"/>
      <c r="R157" s="137"/>
      <c r="S157" s="134"/>
      <c r="T157" s="109"/>
      <c r="U157" s="109"/>
      <c r="V157" s="109"/>
      <c r="W157" s="109"/>
      <c r="X157" s="109"/>
      <c r="Y157" s="127"/>
    </row>
    <row r="158" spans="1:25" ht="15">
      <c r="A158" s="250">
        <v>38</v>
      </c>
      <c r="B158" s="254" t="s">
        <v>570</v>
      </c>
      <c r="C158" s="249" t="s">
        <v>188</v>
      </c>
      <c r="D158" s="372">
        <v>42.8</v>
      </c>
      <c r="E158" s="372">
        <v>49.25</v>
      </c>
      <c r="F158" s="403">
        <v>36.416408738000001</v>
      </c>
      <c r="G158" s="403">
        <v>5.1201887160000004</v>
      </c>
      <c r="H158" s="402">
        <v>4.17</v>
      </c>
      <c r="I158" s="403">
        <v>11.09</v>
      </c>
      <c r="J158" s="403">
        <v>1.19</v>
      </c>
      <c r="K158" s="144"/>
      <c r="L158" s="205"/>
      <c r="M158" s="205"/>
      <c r="N158" s="144"/>
      <c r="O158" s="144"/>
      <c r="P158" s="242"/>
      <c r="Q158" s="164"/>
      <c r="R158" s="137"/>
      <c r="S158" s="134"/>
      <c r="T158" s="109"/>
      <c r="U158" s="109"/>
      <c r="V158" s="109"/>
      <c r="W158" s="109"/>
      <c r="X158" s="109"/>
      <c r="Y158" s="127"/>
    </row>
    <row r="159" spans="1:25" ht="15">
      <c r="A159" s="250">
        <v>39</v>
      </c>
      <c r="B159" s="254" t="s">
        <v>571</v>
      </c>
      <c r="C159" s="249" t="s">
        <v>189</v>
      </c>
      <c r="D159" s="372">
        <v>267.97379832499996</v>
      </c>
      <c r="E159" s="372">
        <v>285.28609832500001</v>
      </c>
      <c r="F159" s="403">
        <v>244.14970618003008</v>
      </c>
      <c r="G159" s="403">
        <v>20.604115046</v>
      </c>
      <c r="H159" s="402">
        <v>6.21</v>
      </c>
      <c r="I159" s="403">
        <v>24.5</v>
      </c>
      <c r="J159" s="403">
        <v>0</v>
      </c>
      <c r="K159" s="144"/>
      <c r="L159" s="205"/>
      <c r="M159" s="205"/>
      <c r="N159" s="144"/>
      <c r="O159" s="144"/>
      <c r="P159" s="242"/>
      <c r="Q159" s="164"/>
      <c r="R159" s="137"/>
      <c r="S159" s="134"/>
      <c r="T159" s="109"/>
      <c r="U159" s="109"/>
      <c r="V159" s="109"/>
      <c r="W159" s="109"/>
      <c r="X159" s="109"/>
      <c r="Y159" s="127"/>
    </row>
    <row r="160" spans="1:25" ht="15">
      <c r="A160" s="250">
        <v>40</v>
      </c>
      <c r="B160" s="254" t="s">
        <v>572</v>
      </c>
      <c r="C160" s="249" t="s">
        <v>190</v>
      </c>
      <c r="D160" s="372">
        <v>153.443709762</v>
      </c>
      <c r="E160" s="372">
        <v>165.383709762</v>
      </c>
      <c r="F160" s="403">
        <v>137.86673464400002</v>
      </c>
      <c r="G160" s="403">
        <v>0.56704832000000005</v>
      </c>
      <c r="H160" s="402">
        <v>13.16</v>
      </c>
      <c r="I160" s="403">
        <v>4.1399999999999997</v>
      </c>
      <c r="J160" s="403">
        <v>14.15</v>
      </c>
      <c r="K160" s="144"/>
      <c r="L160" s="205"/>
      <c r="M160" s="205"/>
      <c r="N160" s="144"/>
      <c r="O160" s="144"/>
      <c r="P160" s="242"/>
      <c r="Q160" s="164"/>
      <c r="R160" s="137"/>
      <c r="S160" s="134"/>
      <c r="T160" s="109"/>
      <c r="U160" s="109"/>
      <c r="V160" s="109"/>
      <c r="W160" s="109"/>
      <c r="X160" s="109"/>
      <c r="Y160" s="127"/>
    </row>
    <row r="161" spans="1:25" ht="15">
      <c r="A161" s="253">
        <v>41</v>
      </c>
      <c r="B161" s="254" t="s">
        <v>573</v>
      </c>
      <c r="C161" s="254" t="s">
        <v>283</v>
      </c>
      <c r="D161" s="372">
        <v>0</v>
      </c>
      <c r="E161" s="372">
        <v>0.66</v>
      </c>
      <c r="F161" s="403">
        <v>0.12233549999999999</v>
      </c>
      <c r="G161" s="403">
        <v>0.54014879999999998</v>
      </c>
      <c r="H161" s="402">
        <v>0</v>
      </c>
      <c r="I161" s="403">
        <v>0.54</v>
      </c>
      <c r="J161" s="403">
        <v>0</v>
      </c>
      <c r="K161" s="144"/>
      <c r="L161" s="205"/>
      <c r="M161" s="205"/>
      <c r="N161" s="144"/>
      <c r="O161" s="144"/>
      <c r="P161" s="242"/>
      <c r="Q161" s="164"/>
      <c r="R161" s="137"/>
      <c r="S161" s="134"/>
      <c r="T161" s="109"/>
      <c r="U161" s="109"/>
      <c r="V161" s="109"/>
      <c r="W161" s="109"/>
      <c r="X161" s="109"/>
      <c r="Y161" s="127"/>
    </row>
    <row r="162" spans="1:25" ht="15">
      <c r="A162" s="250">
        <v>42</v>
      </c>
      <c r="B162" s="254" t="s">
        <v>574</v>
      </c>
      <c r="C162" s="249" t="s">
        <v>192</v>
      </c>
      <c r="D162" s="372">
        <v>54.8</v>
      </c>
      <c r="E162" s="372">
        <v>61.14</v>
      </c>
      <c r="F162" s="403">
        <v>51.960213761000013</v>
      </c>
      <c r="G162" s="403">
        <v>0.71234560000000002</v>
      </c>
      <c r="H162" s="402">
        <v>3.95</v>
      </c>
      <c r="I162" s="403">
        <v>5.9799999999999995</v>
      </c>
      <c r="J162" s="403">
        <v>1.31</v>
      </c>
      <c r="K162" s="144"/>
      <c r="L162" s="205"/>
      <c r="M162" s="205"/>
      <c r="N162" s="144"/>
      <c r="O162" s="144"/>
      <c r="P162" s="242"/>
      <c r="Q162" s="164"/>
      <c r="R162" s="137"/>
      <c r="S162" s="134"/>
      <c r="T162" s="109"/>
      <c r="U162" s="109"/>
      <c r="V162" s="109"/>
      <c r="W162" s="109"/>
      <c r="X162" s="109"/>
      <c r="Y162" s="127"/>
    </row>
    <row r="163" spans="1:25" ht="15">
      <c r="A163" s="250">
        <v>43</v>
      </c>
      <c r="B163" s="254" t="s">
        <v>575</v>
      </c>
      <c r="C163" s="249" t="s">
        <v>191</v>
      </c>
      <c r="D163" s="372">
        <v>155.1</v>
      </c>
      <c r="E163" s="372">
        <v>178.98269999999999</v>
      </c>
      <c r="F163" s="403">
        <v>160.595119375</v>
      </c>
      <c r="G163" s="403">
        <v>0.31773598999999997</v>
      </c>
      <c r="H163" s="402">
        <v>13.48</v>
      </c>
      <c r="I163" s="403">
        <v>3.9299999999999997</v>
      </c>
      <c r="J163" s="403">
        <v>14.46</v>
      </c>
      <c r="K163" s="144"/>
      <c r="L163" s="205"/>
      <c r="M163" s="205"/>
      <c r="N163" s="144"/>
      <c r="O163" s="144"/>
      <c r="P163" s="242"/>
      <c r="Q163" s="164"/>
      <c r="R163" s="137"/>
      <c r="S163" s="134"/>
      <c r="T163" s="109"/>
      <c r="U163" s="109"/>
      <c r="V163" s="109"/>
      <c r="W163" s="109"/>
      <c r="X163" s="109"/>
      <c r="Y163" s="127"/>
    </row>
    <row r="164" spans="1:25" ht="15">
      <c r="A164" s="250">
        <v>44</v>
      </c>
      <c r="B164" s="254" t="s">
        <v>576</v>
      </c>
      <c r="C164" s="249" t="s">
        <v>284</v>
      </c>
      <c r="D164" s="372">
        <v>85.277137058000008</v>
      </c>
      <c r="E164" s="372">
        <v>94.165835898000012</v>
      </c>
      <c r="F164" s="403">
        <v>81.489219122035081</v>
      </c>
      <c r="G164" s="403">
        <v>0.272484648</v>
      </c>
      <c r="H164" s="402">
        <v>18</v>
      </c>
      <c r="I164" s="403">
        <v>0.27</v>
      </c>
      <c r="J164" s="403">
        <v>0</v>
      </c>
      <c r="K164" s="144"/>
      <c r="L164" s="205"/>
      <c r="M164" s="205"/>
      <c r="N164" s="144"/>
      <c r="O164" s="144"/>
      <c r="P164" s="242"/>
      <c r="Q164" s="164"/>
      <c r="R164" s="137"/>
      <c r="S164" s="134"/>
      <c r="T164" s="109"/>
      <c r="U164" s="109"/>
      <c r="V164" s="109"/>
      <c r="W164" s="109"/>
      <c r="X164" s="109"/>
      <c r="Y164" s="127"/>
    </row>
    <row r="165" spans="1:25" ht="15">
      <c r="A165" s="250">
        <v>45</v>
      </c>
      <c r="B165" s="254" t="s">
        <v>577</v>
      </c>
      <c r="C165" s="249" t="s">
        <v>193</v>
      </c>
      <c r="D165" s="372">
        <v>159.69999999999999</v>
      </c>
      <c r="E165" s="372">
        <v>178.24</v>
      </c>
      <c r="F165" s="403">
        <v>154.44255269999999</v>
      </c>
      <c r="G165" s="403">
        <v>0.54457299999999997</v>
      </c>
      <c r="H165" s="402">
        <v>11.48</v>
      </c>
      <c r="I165" s="403">
        <v>13.92</v>
      </c>
      <c r="J165" s="403">
        <v>3.82</v>
      </c>
      <c r="K165" s="144"/>
      <c r="L165" s="205"/>
      <c r="M165" s="205"/>
      <c r="N165" s="144"/>
      <c r="O165" s="144"/>
      <c r="P165" s="242"/>
      <c r="Q165" s="164"/>
      <c r="R165" s="137"/>
      <c r="S165" s="134"/>
      <c r="T165" s="109"/>
      <c r="U165" s="109"/>
      <c r="V165" s="109"/>
      <c r="W165" s="109"/>
      <c r="X165" s="109"/>
      <c r="Y165" s="127"/>
    </row>
    <row r="166" spans="1:25" ht="15">
      <c r="A166" s="250">
        <v>46</v>
      </c>
      <c r="B166" s="254" t="s">
        <v>578</v>
      </c>
      <c r="C166" s="249" t="s">
        <v>194</v>
      </c>
      <c r="D166" s="372">
        <v>62.2</v>
      </c>
      <c r="E166" s="372">
        <v>67.88</v>
      </c>
      <c r="F166" s="403">
        <v>56.412680973999983</v>
      </c>
      <c r="G166" s="403">
        <v>8.9434822739999991</v>
      </c>
      <c r="H166" s="402">
        <v>0</v>
      </c>
      <c r="I166" s="403">
        <v>9.69</v>
      </c>
      <c r="J166" s="403">
        <v>0</v>
      </c>
      <c r="K166" s="144"/>
      <c r="L166" s="205"/>
      <c r="M166" s="205"/>
      <c r="N166" s="144"/>
      <c r="O166" s="144"/>
      <c r="P166" s="242"/>
      <c r="Q166" s="164"/>
      <c r="R166" s="137"/>
      <c r="S166" s="134"/>
      <c r="T166" s="109"/>
      <c r="U166" s="109"/>
      <c r="V166" s="109"/>
      <c r="W166" s="109"/>
      <c r="X166" s="109"/>
      <c r="Y166" s="127"/>
    </row>
    <row r="167" spans="1:25" ht="15">
      <c r="A167" s="250">
        <v>47</v>
      </c>
      <c r="B167" s="254" t="s">
        <v>579</v>
      </c>
      <c r="C167" s="249" t="s">
        <v>285</v>
      </c>
      <c r="D167" s="372">
        <v>-82.342428325</v>
      </c>
      <c r="E167" s="372">
        <v>28.24</v>
      </c>
      <c r="F167" s="403">
        <v>27.746640535000001</v>
      </c>
      <c r="G167" s="403">
        <v>0.48880970300000004</v>
      </c>
      <c r="H167" s="402">
        <v>0</v>
      </c>
      <c r="I167" s="403">
        <v>0.49</v>
      </c>
      <c r="J167" s="403">
        <v>0</v>
      </c>
      <c r="K167" s="144"/>
      <c r="L167" s="205"/>
      <c r="M167" s="205"/>
      <c r="N167" s="144"/>
      <c r="O167" s="144"/>
      <c r="P167" s="242"/>
      <c r="Q167" s="164"/>
      <c r="R167" s="137"/>
      <c r="S167" s="134"/>
      <c r="T167" s="109"/>
      <c r="U167" s="109"/>
      <c r="V167" s="109"/>
      <c r="W167" s="109"/>
      <c r="X167" s="109"/>
      <c r="Y167" s="127"/>
    </row>
    <row r="168" spans="1:25" ht="15">
      <c r="A168" s="253">
        <v>48</v>
      </c>
      <c r="B168" s="254" t="s">
        <v>286</v>
      </c>
      <c r="C168" s="254" t="s">
        <v>287</v>
      </c>
      <c r="D168" s="372">
        <v>3.8464489880000001</v>
      </c>
      <c r="E168" s="372">
        <v>24.436448988000002</v>
      </c>
      <c r="F168" s="403">
        <v>17.336767331999997</v>
      </c>
      <c r="G168" s="403">
        <v>0</v>
      </c>
      <c r="H168" s="402">
        <v>0</v>
      </c>
      <c r="I168" s="403">
        <v>0</v>
      </c>
      <c r="J168" s="403">
        <v>0</v>
      </c>
      <c r="K168" s="144"/>
      <c r="L168" s="205"/>
      <c r="M168" s="205"/>
      <c r="N168" s="144"/>
      <c r="O168" s="144"/>
      <c r="P168" s="242"/>
      <c r="Q168" s="164"/>
      <c r="R168" s="137"/>
      <c r="S168" s="134"/>
      <c r="T168" s="109"/>
      <c r="U168" s="109"/>
      <c r="V168" s="109"/>
      <c r="W168" s="109"/>
      <c r="X168" s="109"/>
      <c r="Y168" s="127"/>
    </row>
    <row r="169" spans="1:25" ht="15">
      <c r="A169" s="253">
        <v>49</v>
      </c>
      <c r="B169" s="254" t="s">
        <v>288</v>
      </c>
      <c r="C169" s="254" t="s">
        <v>289</v>
      </c>
      <c r="D169" s="372">
        <v>0</v>
      </c>
      <c r="E169" s="372">
        <v>26.87</v>
      </c>
      <c r="F169" s="403">
        <v>26.814741576999999</v>
      </c>
      <c r="G169" s="403">
        <v>0</v>
      </c>
      <c r="H169" s="402">
        <v>0</v>
      </c>
      <c r="I169" s="403">
        <v>0</v>
      </c>
      <c r="J169" s="403">
        <v>0</v>
      </c>
      <c r="K169" s="144"/>
      <c r="L169" s="205"/>
      <c r="M169" s="205"/>
      <c r="N169" s="144"/>
      <c r="O169" s="144"/>
      <c r="P169" s="242"/>
      <c r="Q169" s="164"/>
      <c r="R169" s="137"/>
      <c r="S169" s="134"/>
      <c r="T169" s="109"/>
      <c r="U169" s="109"/>
      <c r="V169" s="109"/>
      <c r="W169" s="109"/>
      <c r="X169" s="109"/>
      <c r="Y169" s="127"/>
    </row>
    <row r="170" spans="1:25" ht="15">
      <c r="A170" s="253">
        <v>50</v>
      </c>
      <c r="B170" s="254" t="s">
        <v>290</v>
      </c>
      <c r="C170" s="254" t="s">
        <v>291</v>
      </c>
      <c r="D170" s="372">
        <v>0</v>
      </c>
      <c r="E170" s="372">
        <v>4.6388000000000007</v>
      </c>
      <c r="F170" s="403">
        <v>4.6178632969999995</v>
      </c>
      <c r="G170" s="403">
        <v>0</v>
      </c>
      <c r="H170" s="402">
        <v>0</v>
      </c>
      <c r="I170" s="403">
        <v>0</v>
      </c>
      <c r="J170" s="403">
        <v>0</v>
      </c>
      <c r="K170" s="144"/>
      <c r="L170" s="205"/>
      <c r="M170" s="205"/>
      <c r="N170" s="144"/>
      <c r="O170" s="144"/>
      <c r="P170" s="242"/>
      <c r="Q170" s="164"/>
      <c r="R170" s="137"/>
      <c r="S170" s="134"/>
      <c r="T170" s="109"/>
      <c r="U170" s="109"/>
      <c r="V170" s="109"/>
      <c r="W170" s="109"/>
      <c r="X170" s="109"/>
      <c r="Y170" s="127"/>
    </row>
    <row r="171" spans="1:25" ht="15">
      <c r="A171" s="253">
        <v>51</v>
      </c>
      <c r="B171" s="254" t="s">
        <v>292</v>
      </c>
      <c r="C171" s="254" t="s">
        <v>293</v>
      </c>
      <c r="D171" s="372">
        <v>1.26048048</v>
      </c>
      <c r="E171" s="372">
        <v>13.771880480000002</v>
      </c>
      <c r="F171" s="403">
        <v>6.1510622499999998</v>
      </c>
      <c r="G171" s="403">
        <v>0</v>
      </c>
      <c r="H171" s="402">
        <v>0</v>
      </c>
      <c r="I171" s="403">
        <v>0</v>
      </c>
      <c r="J171" s="403">
        <v>0</v>
      </c>
      <c r="K171" s="144"/>
      <c r="L171" s="205"/>
      <c r="M171" s="205"/>
      <c r="N171" s="144"/>
      <c r="O171" s="144"/>
      <c r="P171" s="242"/>
      <c r="Q171" s="164"/>
      <c r="R171" s="137"/>
      <c r="S171" s="134"/>
      <c r="T171" s="109"/>
      <c r="U171" s="109"/>
      <c r="V171" s="109"/>
      <c r="W171" s="109"/>
      <c r="X171" s="109"/>
      <c r="Y171" s="127"/>
    </row>
    <row r="172" spans="1:25" ht="15">
      <c r="A172" s="250">
        <v>52</v>
      </c>
      <c r="B172" s="254" t="s">
        <v>294</v>
      </c>
      <c r="C172" s="249" t="s">
        <v>295</v>
      </c>
      <c r="D172" s="372">
        <v>192.2</v>
      </c>
      <c r="E172" s="372">
        <v>242.14</v>
      </c>
      <c r="F172" s="403">
        <v>218.40570682200004</v>
      </c>
      <c r="G172" s="403">
        <v>10.608349315999998</v>
      </c>
      <c r="H172" s="402">
        <v>12.43</v>
      </c>
      <c r="I172" s="403">
        <v>15.98</v>
      </c>
      <c r="J172" s="403">
        <v>0</v>
      </c>
      <c r="K172" s="144"/>
      <c r="L172" s="205"/>
      <c r="M172" s="205"/>
      <c r="N172" s="144"/>
      <c r="O172" s="144"/>
      <c r="P172" s="242"/>
      <c r="Q172" s="164"/>
      <c r="R172" s="137"/>
      <c r="S172" s="134"/>
      <c r="T172" s="109"/>
      <c r="U172" s="109"/>
      <c r="V172" s="109"/>
      <c r="W172" s="109"/>
      <c r="X172" s="109"/>
      <c r="Y172" s="127"/>
    </row>
    <row r="173" spans="1:25" ht="15">
      <c r="A173" s="250">
        <v>53</v>
      </c>
      <c r="B173" s="254" t="s">
        <v>296</v>
      </c>
      <c r="C173" s="249" t="s">
        <v>195</v>
      </c>
      <c r="D173" s="372">
        <v>41.3</v>
      </c>
      <c r="E173" s="372">
        <v>46.66</v>
      </c>
      <c r="F173" s="403">
        <v>35.800640646000005</v>
      </c>
      <c r="G173" s="403">
        <v>0.79866486199999998</v>
      </c>
      <c r="H173" s="402">
        <v>7.9399999999999995</v>
      </c>
      <c r="I173" s="403">
        <v>3.3000000000000003</v>
      </c>
      <c r="J173" s="403">
        <v>0.97</v>
      </c>
      <c r="K173" s="144"/>
      <c r="L173" s="205"/>
      <c r="M173" s="205"/>
      <c r="N173" s="144"/>
      <c r="O173" s="144"/>
      <c r="P173" s="242"/>
      <c r="Q173" s="164"/>
      <c r="R173" s="137"/>
      <c r="S173" s="134"/>
      <c r="T173" s="109"/>
      <c r="U173" s="109"/>
      <c r="V173" s="109"/>
      <c r="W173" s="109"/>
      <c r="X173" s="109"/>
      <c r="Y173" s="127"/>
    </row>
    <row r="174" spans="1:25" ht="15">
      <c r="A174" s="250">
        <v>54</v>
      </c>
      <c r="B174" s="254" t="s">
        <v>196</v>
      </c>
      <c r="C174" s="249" t="s">
        <v>297</v>
      </c>
      <c r="D174" s="372">
        <v>4.21</v>
      </c>
      <c r="E174" s="372">
        <v>6</v>
      </c>
      <c r="F174" s="403">
        <v>5.4266003000000005</v>
      </c>
      <c r="G174" s="403">
        <v>0</v>
      </c>
      <c r="H174" s="402">
        <v>5.36</v>
      </c>
      <c r="I174" s="403">
        <v>0</v>
      </c>
      <c r="J174" s="403">
        <v>0</v>
      </c>
      <c r="K174" s="144"/>
      <c r="L174" s="205"/>
      <c r="M174" s="205"/>
      <c r="N174" s="144"/>
      <c r="O174" s="144"/>
      <c r="P174" s="242"/>
      <c r="Q174" s="164"/>
      <c r="R174" s="137"/>
      <c r="S174" s="134"/>
      <c r="T174" s="109"/>
      <c r="U174" s="109"/>
      <c r="V174" s="109"/>
      <c r="W174" s="109"/>
      <c r="X174" s="109"/>
      <c r="Y174" s="127"/>
    </row>
    <row r="175" spans="1:25" ht="15">
      <c r="A175" s="250">
        <v>55</v>
      </c>
      <c r="B175" s="254" t="s">
        <v>580</v>
      </c>
      <c r="C175" s="249" t="s">
        <v>581</v>
      </c>
      <c r="D175" s="372">
        <v>6.69</v>
      </c>
      <c r="E175" s="372">
        <v>7.5</v>
      </c>
      <c r="F175" s="403">
        <v>3.658498603</v>
      </c>
      <c r="G175" s="403">
        <v>2.8741190369999998</v>
      </c>
      <c r="H175" s="402">
        <v>0</v>
      </c>
      <c r="I175" s="403">
        <v>3.53</v>
      </c>
      <c r="J175" s="403">
        <v>0.16</v>
      </c>
      <c r="K175" s="144"/>
      <c r="L175" s="205"/>
      <c r="M175" s="205"/>
      <c r="N175" s="144"/>
      <c r="O175" s="144"/>
      <c r="P175" s="242"/>
      <c r="Q175" s="164"/>
      <c r="R175" s="137"/>
      <c r="S175" s="134"/>
      <c r="T175" s="109"/>
      <c r="U175" s="109"/>
      <c r="V175" s="109"/>
      <c r="W175" s="109"/>
      <c r="X175" s="109"/>
      <c r="Y175" s="127"/>
    </row>
    <row r="176" spans="1:25" ht="15">
      <c r="A176" s="253" t="s">
        <v>583</v>
      </c>
      <c r="B176" s="254" t="s">
        <v>582</v>
      </c>
      <c r="C176" s="249" t="s">
        <v>200</v>
      </c>
      <c r="D176" s="372">
        <v>15.2</v>
      </c>
      <c r="E176" s="372">
        <v>16.000995747000001</v>
      </c>
      <c r="F176" s="403">
        <v>9.4421823360000001</v>
      </c>
      <c r="G176" s="403">
        <v>0</v>
      </c>
      <c r="H176" s="402">
        <v>5.59</v>
      </c>
      <c r="I176" s="403">
        <v>0</v>
      </c>
      <c r="J176" s="403">
        <v>0</v>
      </c>
      <c r="K176" s="144"/>
      <c r="L176" s="205"/>
      <c r="M176" s="205"/>
      <c r="N176" s="144"/>
      <c r="O176" s="144"/>
      <c r="P176" s="242"/>
      <c r="Q176" s="164"/>
      <c r="R176" s="137"/>
      <c r="S176" s="134"/>
      <c r="T176" s="109"/>
      <c r="U176" s="109"/>
      <c r="V176" s="109"/>
      <c r="W176" s="109"/>
      <c r="X176" s="109"/>
      <c r="Y176" s="127"/>
    </row>
    <row r="177" spans="1:25" ht="15">
      <c r="A177" s="250">
        <v>56</v>
      </c>
      <c r="B177" s="254" t="s">
        <v>584</v>
      </c>
      <c r="C177" s="254" t="s">
        <v>585</v>
      </c>
      <c r="D177" s="372">
        <v>0</v>
      </c>
      <c r="E177" s="372">
        <v>1.25</v>
      </c>
      <c r="F177" s="403">
        <v>0.98296553600000014</v>
      </c>
      <c r="G177" s="403">
        <v>0.16719299700000001</v>
      </c>
      <c r="H177" s="402">
        <v>0</v>
      </c>
      <c r="I177" s="403">
        <v>0.19</v>
      </c>
      <c r="J177" s="403">
        <v>7.0000000000000007E-2</v>
      </c>
      <c r="K177" s="144"/>
      <c r="L177" s="205"/>
      <c r="M177" s="205"/>
      <c r="N177" s="144"/>
      <c r="O177" s="144"/>
      <c r="P177" s="242"/>
      <c r="Q177" s="164"/>
      <c r="R177" s="137"/>
      <c r="S177" s="134"/>
      <c r="T177" s="109"/>
      <c r="U177" s="109"/>
      <c r="V177" s="109"/>
      <c r="W177" s="109"/>
      <c r="X177" s="109"/>
      <c r="Y177" s="127"/>
    </row>
    <row r="178" spans="1:25" ht="15">
      <c r="A178" s="253">
        <v>57</v>
      </c>
      <c r="B178" s="254" t="s">
        <v>197</v>
      </c>
      <c r="C178" s="249" t="s">
        <v>198</v>
      </c>
      <c r="D178" s="372">
        <v>2.5</v>
      </c>
      <c r="E178" s="372">
        <v>2.5</v>
      </c>
      <c r="F178" s="403">
        <v>1.559887968</v>
      </c>
      <c r="G178" s="403">
        <v>0</v>
      </c>
      <c r="H178" s="402">
        <v>0.19</v>
      </c>
      <c r="I178" s="403">
        <v>0.25</v>
      </c>
      <c r="J178" s="403">
        <v>0.06</v>
      </c>
      <c r="K178" s="144"/>
      <c r="L178" s="205"/>
      <c r="M178" s="205"/>
      <c r="N178" s="144"/>
      <c r="O178" s="144"/>
      <c r="P178" s="242"/>
      <c r="Q178" s="164"/>
      <c r="R178" s="137"/>
      <c r="S178" s="134"/>
      <c r="T178" s="109"/>
      <c r="U178" s="109"/>
      <c r="V178" s="109"/>
      <c r="W178" s="109"/>
      <c r="X178" s="109"/>
      <c r="Y178" s="127"/>
    </row>
    <row r="179" spans="1:25" ht="15">
      <c r="A179" s="253">
        <v>58</v>
      </c>
      <c r="B179" s="254" t="s">
        <v>24</v>
      </c>
      <c r="C179" s="254" t="s">
        <v>199</v>
      </c>
      <c r="D179" s="372">
        <v>0</v>
      </c>
      <c r="E179" s="372">
        <v>1</v>
      </c>
      <c r="F179" s="403">
        <v>0.85383539999999991</v>
      </c>
      <c r="G179" s="403">
        <v>0</v>
      </c>
      <c r="H179" s="402">
        <v>0</v>
      </c>
      <c r="I179" s="403">
        <v>0</v>
      </c>
      <c r="J179" s="403">
        <v>0</v>
      </c>
      <c r="K179" s="144"/>
      <c r="L179" s="205"/>
      <c r="M179" s="205"/>
      <c r="N179" s="144"/>
      <c r="O179" s="144"/>
      <c r="P179" s="242"/>
      <c r="Q179" s="164"/>
      <c r="R179" s="137"/>
      <c r="S179" s="134"/>
      <c r="T179" s="109"/>
      <c r="U179" s="109"/>
      <c r="V179" s="109"/>
      <c r="W179" s="109"/>
      <c r="X179" s="109"/>
      <c r="Y179" s="127"/>
    </row>
    <row r="180" spans="1:25" ht="15.75">
      <c r="A180" s="253">
        <v>59</v>
      </c>
      <c r="B180" s="254" t="s">
        <v>298</v>
      </c>
      <c r="C180" s="255" t="s">
        <v>299</v>
      </c>
      <c r="D180" s="372">
        <v>4.9000000000000004</v>
      </c>
      <c r="E180" s="372">
        <v>35.1</v>
      </c>
      <c r="F180" s="403">
        <v>1.4328999999999998</v>
      </c>
      <c r="G180" s="403">
        <v>0.2152307</v>
      </c>
      <c r="H180" s="402">
        <v>0</v>
      </c>
      <c r="I180" s="403">
        <v>0.22</v>
      </c>
      <c r="J180" s="403">
        <v>0</v>
      </c>
      <c r="K180" s="144"/>
      <c r="L180" s="205"/>
      <c r="M180" s="205"/>
      <c r="N180" s="144"/>
      <c r="O180" s="144"/>
      <c r="P180" s="242"/>
      <c r="Q180" s="164"/>
      <c r="R180" s="137"/>
      <c r="S180" s="134"/>
      <c r="T180" s="109"/>
      <c r="U180" s="109"/>
      <c r="V180" s="109"/>
      <c r="W180" s="109"/>
      <c r="X180" s="109"/>
      <c r="Y180" s="127"/>
    </row>
    <row r="181" spans="1:25" ht="15.75">
      <c r="A181" s="253">
        <v>60</v>
      </c>
      <c r="B181" s="254" t="s">
        <v>298</v>
      </c>
      <c r="C181" s="255" t="s">
        <v>300</v>
      </c>
      <c r="D181" s="372">
        <v>35.1</v>
      </c>
      <c r="E181" s="372">
        <v>35.1</v>
      </c>
      <c r="F181" s="403">
        <v>13.632249397000001</v>
      </c>
      <c r="G181" s="403">
        <v>4.2093644439999993</v>
      </c>
      <c r="H181" s="402">
        <v>18</v>
      </c>
      <c r="I181" s="403">
        <v>15.4</v>
      </c>
      <c r="J181" s="403">
        <v>1.27</v>
      </c>
      <c r="K181" s="144"/>
      <c r="L181" s="205"/>
      <c r="M181" s="205"/>
      <c r="N181" s="144"/>
      <c r="O181" s="144"/>
      <c r="P181" s="242"/>
      <c r="Q181" s="164"/>
      <c r="R181" s="137"/>
      <c r="S181" s="134"/>
      <c r="T181" s="109"/>
      <c r="U181" s="109"/>
      <c r="V181" s="109"/>
      <c r="W181" s="109"/>
      <c r="X181" s="109"/>
      <c r="Y181" s="127"/>
    </row>
    <row r="182" spans="1:25" ht="15.75">
      <c r="A182" s="253">
        <v>61</v>
      </c>
      <c r="B182" s="254" t="s">
        <v>586</v>
      </c>
      <c r="C182" s="255" t="s">
        <v>587</v>
      </c>
      <c r="D182" s="372">
        <v>0</v>
      </c>
      <c r="E182" s="372">
        <v>1.85</v>
      </c>
      <c r="F182" s="403">
        <v>0</v>
      </c>
      <c r="G182" s="403">
        <v>2.1323628909999996</v>
      </c>
      <c r="H182" s="402">
        <v>0</v>
      </c>
      <c r="I182" s="403">
        <v>2.13</v>
      </c>
      <c r="J182" s="403">
        <v>0.37</v>
      </c>
      <c r="K182" s="144"/>
      <c r="L182" s="205"/>
      <c r="M182" s="205"/>
      <c r="N182" s="144"/>
      <c r="O182" s="144"/>
      <c r="P182" s="242"/>
      <c r="Q182" s="164"/>
      <c r="R182" s="137"/>
      <c r="S182" s="134"/>
      <c r="T182" s="109"/>
      <c r="U182" s="109"/>
      <c r="V182" s="109"/>
      <c r="W182" s="109"/>
      <c r="X182" s="109"/>
      <c r="Y182" s="127"/>
    </row>
    <row r="183" spans="1:25" ht="15.75">
      <c r="A183" s="253">
        <v>62</v>
      </c>
      <c r="B183" s="254" t="s">
        <v>588</v>
      </c>
      <c r="C183" s="255" t="s">
        <v>589</v>
      </c>
      <c r="D183" s="372">
        <v>0</v>
      </c>
      <c r="E183" s="372">
        <v>0.05</v>
      </c>
      <c r="F183" s="403">
        <v>0</v>
      </c>
      <c r="G183" s="403">
        <v>2.2562160000000001E-2</v>
      </c>
      <c r="H183" s="402">
        <v>0</v>
      </c>
      <c r="I183" s="403">
        <v>0.02</v>
      </c>
      <c r="J183" s="403">
        <v>0</v>
      </c>
      <c r="K183" s="144"/>
      <c r="L183" s="205"/>
      <c r="M183" s="205"/>
      <c r="N183" s="144"/>
      <c r="O183" s="144"/>
      <c r="P183" s="242"/>
      <c r="Q183" s="164"/>
      <c r="R183" s="137"/>
      <c r="S183" s="134"/>
      <c r="T183" s="109"/>
      <c r="U183" s="109"/>
      <c r="V183" s="109"/>
      <c r="W183" s="109"/>
      <c r="X183" s="109"/>
      <c r="Y183" s="127"/>
    </row>
    <row r="184" spans="1:25" ht="15">
      <c r="A184" s="253">
        <v>63</v>
      </c>
      <c r="B184" s="254" t="s">
        <v>631</v>
      </c>
      <c r="C184" s="109" t="s">
        <v>590</v>
      </c>
      <c r="D184" s="372">
        <v>0</v>
      </c>
      <c r="E184" s="372">
        <v>0.28999999999999998</v>
      </c>
      <c r="F184" s="403">
        <v>0</v>
      </c>
      <c r="G184" s="403">
        <v>0.14071410000000001</v>
      </c>
      <c r="H184" s="402">
        <v>0</v>
      </c>
      <c r="I184" s="403">
        <v>0.29000000000000004</v>
      </c>
      <c r="J184" s="403">
        <v>0</v>
      </c>
      <c r="K184" s="144"/>
      <c r="L184" s="205"/>
      <c r="M184" s="205"/>
      <c r="N184" s="144"/>
      <c r="O184" s="144"/>
      <c r="P184" s="242"/>
      <c r="Q184" s="164"/>
      <c r="R184" s="137"/>
      <c r="S184" s="134"/>
      <c r="T184" s="109"/>
      <c r="U184" s="109"/>
      <c r="V184" s="109"/>
      <c r="W184" s="109"/>
      <c r="X184" s="109"/>
      <c r="Y184" s="127"/>
    </row>
    <row r="185" spans="1:25" ht="15">
      <c r="A185" s="253">
        <v>64</v>
      </c>
      <c r="B185" s="254" t="s">
        <v>632</v>
      </c>
      <c r="C185" s="109" t="s">
        <v>591</v>
      </c>
      <c r="D185" s="372">
        <v>0</v>
      </c>
      <c r="E185" s="372">
        <v>1.1000000000000001</v>
      </c>
      <c r="F185" s="403">
        <v>0</v>
      </c>
      <c r="G185" s="403">
        <v>0.91285744599999985</v>
      </c>
      <c r="H185" s="402">
        <v>0</v>
      </c>
      <c r="I185" s="403">
        <v>0.92</v>
      </c>
      <c r="J185" s="403">
        <v>0.12</v>
      </c>
      <c r="K185" s="144"/>
      <c r="L185" s="205"/>
      <c r="M185" s="205"/>
      <c r="N185" s="144"/>
      <c r="O185" s="144"/>
      <c r="P185" s="242"/>
      <c r="Q185" s="164"/>
      <c r="R185" s="137"/>
      <c r="S185" s="134"/>
      <c r="T185" s="109"/>
      <c r="U185" s="109"/>
      <c r="V185" s="109"/>
      <c r="W185" s="109"/>
      <c r="X185" s="109"/>
      <c r="Y185" s="127"/>
    </row>
    <row r="186" spans="1:25" ht="15.75">
      <c r="A186" s="251" t="s">
        <v>23</v>
      </c>
      <c r="B186" s="340"/>
      <c r="C186" s="256"/>
      <c r="D186" s="372"/>
      <c r="E186" s="372"/>
      <c r="F186" s="403"/>
      <c r="G186" s="403"/>
      <c r="H186" s="402"/>
      <c r="I186" s="403"/>
      <c r="J186" s="403"/>
      <c r="K186" s="144"/>
      <c r="L186" s="205"/>
      <c r="M186" s="205"/>
      <c r="N186" s="144"/>
      <c r="O186" s="144"/>
      <c r="P186" s="242"/>
      <c r="Q186" s="164"/>
      <c r="R186" s="137"/>
      <c r="S186" s="134"/>
      <c r="T186" s="109"/>
      <c r="U186" s="109"/>
      <c r="V186" s="109"/>
      <c r="W186" s="109"/>
      <c r="X186" s="109"/>
      <c r="Y186" s="127"/>
    </row>
    <row r="187" spans="1:25" ht="15">
      <c r="A187" s="250">
        <v>65</v>
      </c>
      <c r="B187" s="254" t="s">
        <v>592</v>
      </c>
      <c r="C187" s="249" t="s">
        <v>201</v>
      </c>
      <c r="D187" s="372">
        <v>141.41932874899999</v>
      </c>
      <c r="E187" s="372">
        <v>148.28015874900001</v>
      </c>
      <c r="F187" s="403">
        <v>125.75793167024079</v>
      </c>
      <c r="G187" s="403">
        <v>0.33403260000000001</v>
      </c>
      <c r="H187" s="402">
        <v>4.9899999999999993</v>
      </c>
      <c r="I187" s="403">
        <v>7.67</v>
      </c>
      <c r="J187" s="403">
        <v>0</v>
      </c>
      <c r="K187" s="144"/>
      <c r="L187" s="205"/>
      <c r="M187" s="205"/>
      <c r="N187" s="144"/>
      <c r="O187" s="144"/>
      <c r="P187" s="242"/>
      <c r="Q187" s="164"/>
      <c r="R187" s="137"/>
      <c r="S187" s="134"/>
      <c r="T187" s="109"/>
      <c r="U187" s="109"/>
      <c r="V187" s="109"/>
      <c r="W187" s="109"/>
      <c r="X187" s="109"/>
      <c r="Y187" s="127"/>
    </row>
    <row r="188" spans="1:25" ht="15">
      <c r="A188" s="250">
        <v>66</v>
      </c>
      <c r="B188" s="254" t="s">
        <v>593</v>
      </c>
      <c r="C188" s="249" t="s">
        <v>202</v>
      </c>
      <c r="D188" s="372">
        <v>50.225808789999995</v>
      </c>
      <c r="E188" s="372">
        <v>55.455808789999999</v>
      </c>
      <c r="F188" s="403">
        <v>53.441669090819097</v>
      </c>
      <c r="G188" s="403">
        <v>0</v>
      </c>
      <c r="H188" s="402">
        <v>0</v>
      </c>
      <c r="I188" s="403">
        <v>1.44</v>
      </c>
      <c r="J188" s="403">
        <v>0</v>
      </c>
      <c r="K188" s="144"/>
      <c r="L188" s="205"/>
      <c r="M188" s="205"/>
      <c r="N188" s="144"/>
      <c r="O188" s="144"/>
      <c r="P188" s="242"/>
      <c r="Q188" s="164"/>
      <c r="R188" s="137"/>
      <c r="S188" s="134"/>
      <c r="T188" s="109"/>
      <c r="U188" s="109"/>
      <c r="V188" s="109"/>
      <c r="W188" s="109"/>
      <c r="X188" s="109"/>
      <c r="Y188" s="127"/>
    </row>
    <row r="189" spans="1:25" ht="15">
      <c r="A189" s="250">
        <v>67</v>
      </c>
      <c r="B189" s="254" t="s">
        <v>301</v>
      </c>
      <c r="C189" s="249" t="s">
        <v>203</v>
      </c>
      <c r="D189" s="372">
        <v>39.735644527999995</v>
      </c>
      <c r="E189" s="372">
        <v>49.735644528000002</v>
      </c>
      <c r="F189" s="403">
        <v>47.699777434506615</v>
      </c>
      <c r="G189" s="403">
        <v>5.552277999999999E-3</v>
      </c>
      <c r="H189" s="402">
        <v>0</v>
      </c>
      <c r="I189" s="403">
        <v>1.68</v>
      </c>
      <c r="J189" s="403">
        <v>0</v>
      </c>
      <c r="K189" s="144"/>
      <c r="L189" s="205"/>
      <c r="M189" s="205"/>
      <c r="N189" s="144"/>
      <c r="O189" s="144"/>
      <c r="P189" s="242"/>
      <c r="Q189" s="164"/>
      <c r="R189" s="137"/>
      <c r="S189" s="134"/>
      <c r="T189" s="109"/>
      <c r="U189" s="109"/>
      <c r="V189" s="109"/>
      <c r="W189" s="109"/>
      <c r="X189" s="109"/>
      <c r="Y189" s="127"/>
    </row>
    <row r="190" spans="1:25" ht="15">
      <c r="A190" s="250">
        <v>68</v>
      </c>
      <c r="B190" s="254" t="s">
        <v>594</v>
      </c>
      <c r="C190" s="249" t="s">
        <v>204</v>
      </c>
      <c r="D190" s="372">
        <v>417.6</v>
      </c>
      <c r="E190" s="372">
        <v>512.49</v>
      </c>
      <c r="F190" s="403">
        <v>446.36664692488705</v>
      </c>
      <c r="G190" s="403">
        <v>52.737678170521001</v>
      </c>
      <c r="H190" s="402">
        <v>21.64</v>
      </c>
      <c r="I190" s="403">
        <v>64.8</v>
      </c>
      <c r="J190" s="403">
        <v>0</v>
      </c>
      <c r="K190" s="144"/>
      <c r="L190" s="205"/>
      <c r="M190" s="205"/>
      <c r="N190" s="144"/>
      <c r="O190" s="144"/>
      <c r="P190" s="242"/>
      <c r="Q190" s="164"/>
      <c r="R190" s="137"/>
      <c r="S190" s="134"/>
      <c r="T190" s="109"/>
      <c r="U190" s="109"/>
      <c r="V190" s="109"/>
      <c r="W190" s="109"/>
      <c r="X190" s="109"/>
      <c r="Y190" s="127"/>
    </row>
    <row r="191" spans="1:25" ht="15">
      <c r="A191" s="250">
        <v>69</v>
      </c>
      <c r="B191" s="254" t="s">
        <v>595</v>
      </c>
      <c r="C191" s="249" t="s">
        <v>205</v>
      </c>
      <c r="D191" s="372">
        <v>59.2</v>
      </c>
      <c r="E191" s="372">
        <v>67.564538856049609</v>
      </c>
      <c r="F191" s="403">
        <v>62.54340066332</v>
      </c>
      <c r="G191" s="403">
        <v>0.63071742199999992</v>
      </c>
      <c r="H191" s="402">
        <v>0</v>
      </c>
      <c r="I191" s="403">
        <v>3.54</v>
      </c>
      <c r="J191" s="403">
        <v>1.4549999999999998</v>
      </c>
      <c r="K191" s="144"/>
      <c r="L191" s="205"/>
      <c r="M191" s="205"/>
      <c r="N191" s="144"/>
      <c r="O191" s="144"/>
      <c r="P191" s="242"/>
      <c r="Q191" s="164"/>
      <c r="R191" s="137"/>
      <c r="S191" s="134"/>
      <c r="T191" s="109"/>
      <c r="U191" s="109"/>
      <c r="V191" s="109"/>
      <c r="W191" s="109"/>
      <c r="X191" s="109"/>
      <c r="Y191" s="127"/>
    </row>
    <row r="192" spans="1:25" ht="15">
      <c r="A192" s="250">
        <v>70</v>
      </c>
      <c r="B192" s="254" t="s">
        <v>596</v>
      </c>
      <c r="C192" s="249" t="s">
        <v>211</v>
      </c>
      <c r="D192" s="372">
        <v>159.41725466899999</v>
      </c>
      <c r="E192" s="372">
        <v>174.32725466899998</v>
      </c>
      <c r="F192" s="403">
        <v>112.44471624099998</v>
      </c>
      <c r="G192" s="403">
        <v>5.9599200000000005E-2</v>
      </c>
      <c r="H192" s="416">
        <v>8.9849999999999994</v>
      </c>
      <c r="I192" s="403">
        <v>3.7</v>
      </c>
      <c r="J192" s="403">
        <v>10.92</v>
      </c>
      <c r="K192" s="144"/>
      <c r="L192" s="205"/>
      <c r="M192" s="205"/>
      <c r="N192" s="144"/>
      <c r="O192" s="144"/>
      <c r="P192" s="242"/>
      <c r="Q192" s="164"/>
      <c r="R192" s="137"/>
      <c r="S192" s="134"/>
      <c r="T192" s="109"/>
      <c r="U192" s="109"/>
      <c r="V192" s="109"/>
      <c r="W192" s="109"/>
      <c r="X192" s="109"/>
      <c r="Y192" s="127"/>
    </row>
    <row r="193" spans="1:25" ht="15">
      <c r="A193" s="250">
        <v>71</v>
      </c>
      <c r="B193" s="254" t="s">
        <v>597</v>
      </c>
      <c r="C193" s="249" t="s">
        <v>242</v>
      </c>
      <c r="D193" s="372">
        <v>11.1</v>
      </c>
      <c r="E193" s="372">
        <v>14.1</v>
      </c>
      <c r="F193" s="403">
        <v>11.36031444</v>
      </c>
      <c r="G193" s="403">
        <v>0.68358975</v>
      </c>
      <c r="H193" s="402">
        <v>0</v>
      </c>
      <c r="I193" s="403">
        <v>2.7800000000000002</v>
      </c>
      <c r="J193" s="403">
        <v>0</v>
      </c>
      <c r="K193" s="144"/>
      <c r="L193" s="205"/>
      <c r="M193" s="205"/>
      <c r="N193" s="144"/>
      <c r="O193" s="144"/>
      <c r="P193" s="242"/>
      <c r="Q193" s="164"/>
      <c r="R193" s="137"/>
      <c r="S193" s="134"/>
      <c r="T193" s="109"/>
      <c r="U193" s="109"/>
      <c r="V193" s="109"/>
      <c r="W193" s="109"/>
      <c r="X193" s="109"/>
      <c r="Y193" s="127"/>
    </row>
    <row r="194" spans="1:25" ht="15.75">
      <c r="A194" s="251" t="s">
        <v>22</v>
      </c>
      <c r="B194" s="340"/>
      <c r="C194" s="256"/>
      <c r="D194" s="372"/>
      <c r="E194" s="372"/>
      <c r="F194" s="403"/>
      <c r="G194" s="403"/>
      <c r="H194" s="402"/>
      <c r="I194" s="403"/>
      <c r="J194" s="403"/>
      <c r="K194" s="144"/>
      <c r="L194" s="205"/>
      <c r="M194" s="205"/>
      <c r="N194" s="144"/>
      <c r="O194" s="144"/>
      <c r="P194" s="242"/>
      <c r="Q194" s="164"/>
      <c r="R194" s="137"/>
      <c r="S194" s="134"/>
      <c r="T194" s="109"/>
      <c r="U194" s="109"/>
      <c r="V194" s="109"/>
      <c r="W194" s="109"/>
      <c r="X194" s="109"/>
      <c r="Y194" s="127"/>
    </row>
    <row r="195" spans="1:25" ht="15">
      <c r="A195" s="250">
        <v>72</v>
      </c>
      <c r="B195" s="254" t="s">
        <v>598</v>
      </c>
      <c r="C195" s="249" t="s">
        <v>206</v>
      </c>
      <c r="D195" s="372">
        <v>277.979659384</v>
      </c>
      <c r="E195" s="372">
        <v>286.83965938400002</v>
      </c>
      <c r="F195" s="403">
        <v>271.15721769683233</v>
      </c>
      <c r="G195" s="403">
        <v>0</v>
      </c>
      <c r="H195" s="402">
        <v>13.34</v>
      </c>
      <c r="I195" s="403">
        <v>11.26</v>
      </c>
      <c r="J195" s="403">
        <v>0</v>
      </c>
      <c r="K195" s="144"/>
      <c r="L195" s="205"/>
      <c r="M195" s="205"/>
      <c r="N195" s="144"/>
      <c r="O195" s="144"/>
      <c r="P195" s="242"/>
      <c r="Q195" s="164"/>
      <c r="R195" s="137"/>
      <c r="S195" s="134"/>
      <c r="T195" s="109"/>
      <c r="U195" s="109"/>
      <c r="V195" s="109"/>
      <c r="W195" s="109"/>
      <c r="X195" s="109"/>
      <c r="Y195" s="127"/>
    </row>
    <row r="196" spans="1:25" ht="15">
      <c r="A196" s="253">
        <v>73</v>
      </c>
      <c r="B196" s="254" t="s">
        <v>599</v>
      </c>
      <c r="C196" s="249" t="s">
        <v>207</v>
      </c>
      <c r="D196" s="372">
        <v>199.53455853899999</v>
      </c>
      <c r="E196" s="372">
        <v>202.32173853899999</v>
      </c>
      <c r="F196" s="403">
        <v>197.17806829660864</v>
      </c>
      <c r="G196" s="403">
        <v>0</v>
      </c>
      <c r="H196" s="402">
        <v>0</v>
      </c>
      <c r="I196" s="403">
        <v>0</v>
      </c>
      <c r="J196" s="403">
        <v>0</v>
      </c>
      <c r="K196" s="144"/>
      <c r="L196" s="205"/>
      <c r="M196" s="205"/>
      <c r="N196" s="144"/>
      <c r="O196" s="144"/>
      <c r="P196" s="242"/>
      <c r="Q196" s="164"/>
      <c r="R196" s="137"/>
      <c r="S196" s="134"/>
      <c r="T196" s="109"/>
      <c r="U196" s="109"/>
      <c r="V196" s="109"/>
      <c r="W196" s="109"/>
      <c r="X196" s="109"/>
      <c r="Y196" s="127"/>
    </row>
    <row r="197" spans="1:25" ht="15">
      <c r="A197" s="253">
        <v>74</v>
      </c>
      <c r="B197" s="254" t="s">
        <v>600</v>
      </c>
      <c r="C197" s="249" t="s">
        <v>208</v>
      </c>
      <c r="D197" s="372">
        <v>1443.3315995329999</v>
      </c>
      <c r="E197" s="372">
        <v>1595.721599533</v>
      </c>
      <c r="F197" s="403">
        <v>1465.2048173574619</v>
      </c>
      <c r="G197" s="403">
        <v>3.6005962393722144</v>
      </c>
      <c r="H197" s="402">
        <v>66</v>
      </c>
      <c r="I197" s="403">
        <v>83.55</v>
      </c>
      <c r="J197" s="403">
        <v>0</v>
      </c>
      <c r="K197" s="144"/>
      <c r="L197" s="205"/>
      <c r="M197" s="205"/>
      <c r="N197" s="144"/>
      <c r="O197" s="144"/>
      <c r="P197" s="242"/>
      <c r="Q197" s="164"/>
      <c r="R197" s="137"/>
      <c r="S197" s="134"/>
      <c r="T197" s="109"/>
      <c r="U197" s="109"/>
      <c r="V197" s="109"/>
      <c r="W197" s="109"/>
      <c r="X197" s="109"/>
      <c r="Y197" s="127"/>
    </row>
    <row r="198" spans="1:25" ht="15">
      <c r="A198" s="253">
        <v>75</v>
      </c>
      <c r="B198" s="254" t="s">
        <v>601</v>
      </c>
      <c r="C198" s="249" t="s">
        <v>209</v>
      </c>
      <c r="D198" s="372">
        <v>85.223962188000002</v>
      </c>
      <c r="E198" s="372">
        <v>93.057962188000005</v>
      </c>
      <c r="F198" s="403">
        <v>83.030625450999992</v>
      </c>
      <c r="G198" s="403">
        <v>4.0819831492500001</v>
      </c>
      <c r="H198" s="416">
        <v>2.1305990547000002</v>
      </c>
      <c r="I198" s="403">
        <v>7.96</v>
      </c>
      <c r="J198" s="403">
        <v>0</v>
      </c>
      <c r="K198" s="144"/>
      <c r="L198" s="205"/>
      <c r="M198" s="205"/>
      <c r="N198" s="144"/>
      <c r="O198" s="144"/>
      <c r="P198" s="242"/>
      <c r="Q198" s="164"/>
      <c r="R198" s="137"/>
      <c r="S198" s="134"/>
      <c r="T198" s="109"/>
      <c r="U198" s="109"/>
      <c r="V198" s="109"/>
      <c r="W198" s="109"/>
      <c r="X198" s="109"/>
      <c r="Y198" s="127"/>
    </row>
    <row r="199" spans="1:25" ht="15">
      <c r="A199" s="253">
        <v>76</v>
      </c>
      <c r="B199" s="254" t="s">
        <v>302</v>
      </c>
      <c r="C199" s="249" t="s">
        <v>303</v>
      </c>
      <c r="D199" s="372">
        <v>0.7</v>
      </c>
      <c r="E199" s="372">
        <v>1.5</v>
      </c>
      <c r="F199" s="403">
        <v>1.3191171769999999</v>
      </c>
      <c r="G199" s="403">
        <v>7.5508687000000005E-2</v>
      </c>
      <c r="H199" s="402">
        <v>0</v>
      </c>
      <c r="I199" s="403">
        <v>0.14000000000000001</v>
      </c>
      <c r="J199" s="403">
        <v>0.03</v>
      </c>
      <c r="K199" s="144"/>
      <c r="L199" s="205"/>
      <c r="M199" s="205"/>
      <c r="N199" s="144"/>
      <c r="O199" s="144"/>
      <c r="P199" s="242"/>
      <c r="Q199" s="164"/>
      <c r="R199" s="137"/>
      <c r="S199" s="134"/>
      <c r="T199" s="109"/>
      <c r="U199" s="109"/>
      <c r="V199" s="109"/>
      <c r="W199" s="109"/>
      <c r="X199" s="109"/>
      <c r="Y199" s="127"/>
    </row>
    <row r="200" spans="1:25" ht="15">
      <c r="A200" s="253">
        <v>77</v>
      </c>
      <c r="B200" s="254" t="s">
        <v>602</v>
      </c>
      <c r="C200" s="249" t="s">
        <v>210</v>
      </c>
      <c r="D200" s="372">
        <v>323.7</v>
      </c>
      <c r="E200" s="372">
        <v>350.17363799097905</v>
      </c>
      <c r="F200" s="403">
        <v>333.63649662208195</v>
      </c>
      <c r="G200" s="403">
        <v>2.2552743</v>
      </c>
      <c r="H200" s="402">
        <v>0</v>
      </c>
      <c r="I200" s="403">
        <v>2.2599999999999998</v>
      </c>
      <c r="J200" s="403">
        <v>0</v>
      </c>
      <c r="K200" s="144"/>
      <c r="L200" s="205"/>
      <c r="M200" s="205"/>
      <c r="N200" s="144"/>
      <c r="O200" s="144"/>
      <c r="P200" s="242"/>
      <c r="Q200" s="164"/>
      <c r="R200" s="137"/>
      <c r="S200" s="134"/>
      <c r="T200" s="109"/>
      <c r="U200" s="109"/>
      <c r="V200" s="109"/>
      <c r="W200" s="109"/>
      <c r="X200" s="109"/>
      <c r="Y200" s="127"/>
    </row>
    <row r="201" spans="1:25" ht="15">
      <c r="A201" s="253">
        <v>78</v>
      </c>
      <c r="B201" s="254" t="s">
        <v>603</v>
      </c>
      <c r="C201" s="249" t="s">
        <v>304</v>
      </c>
      <c r="D201" s="372">
        <v>-17.523615245999999</v>
      </c>
      <c r="E201" s="372">
        <v>67.489999999999995</v>
      </c>
      <c r="F201" s="403">
        <v>67.491063329000013</v>
      </c>
      <c r="G201" s="403">
        <v>0</v>
      </c>
      <c r="H201" s="402">
        <v>0</v>
      </c>
      <c r="I201" s="403">
        <v>0</v>
      </c>
      <c r="J201" s="403">
        <v>0</v>
      </c>
      <c r="K201" s="144"/>
      <c r="L201" s="205"/>
      <c r="M201" s="205"/>
      <c r="N201" s="144"/>
      <c r="O201" s="144"/>
      <c r="P201" s="242"/>
      <c r="Q201" s="164"/>
      <c r="R201" s="137"/>
      <c r="S201" s="134"/>
      <c r="T201" s="109"/>
      <c r="U201" s="109"/>
      <c r="V201" s="109"/>
      <c r="W201" s="109"/>
      <c r="X201" s="109"/>
      <c r="Y201" s="127"/>
    </row>
    <row r="202" spans="1:25" ht="15">
      <c r="A202" s="253">
        <v>79</v>
      </c>
      <c r="B202" s="254" t="s">
        <v>305</v>
      </c>
      <c r="C202" s="254" t="s">
        <v>306</v>
      </c>
      <c r="D202" s="372">
        <v>0.159609207</v>
      </c>
      <c r="E202" s="372">
        <v>2.23</v>
      </c>
      <c r="F202" s="403">
        <v>2.2267484959999999</v>
      </c>
      <c r="G202" s="403">
        <v>0</v>
      </c>
      <c r="H202" s="402">
        <v>0</v>
      </c>
      <c r="I202" s="403">
        <v>0</v>
      </c>
      <c r="J202" s="403">
        <v>0</v>
      </c>
      <c r="K202" s="144"/>
      <c r="L202" s="205"/>
      <c r="M202" s="205"/>
      <c r="N202" s="144"/>
      <c r="O202" s="144"/>
      <c r="P202" s="242"/>
      <c r="Q202" s="164"/>
      <c r="R202" s="137"/>
      <c r="S202" s="134"/>
      <c r="T202" s="109"/>
      <c r="U202" s="109"/>
      <c r="V202" s="109"/>
      <c r="W202" s="109"/>
      <c r="X202" s="109"/>
      <c r="Y202" s="127"/>
    </row>
    <row r="203" spans="1:25" ht="15">
      <c r="A203" s="253">
        <v>80</v>
      </c>
      <c r="B203" s="254" t="s">
        <v>307</v>
      </c>
      <c r="C203" s="254" t="s">
        <v>308</v>
      </c>
      <c r="D203" s="372">
        <v>9.9628649E-2</v>
      </c>
      <c r="E203" s="372">
        <v>2.8824286489999995</v>
      </c>
      <c r="F203" s="403">
        <v>1.3693153689999999</v>
      </c>
      <c r="G203" s="403">
        <v>0.31157664200000001</v>
      </c>
      <c r="H203" s="402">
        <v>0</v>
      </c>
      <c r="I203" s="403">
        <v>0.31</v>
      </c>
      <c r="J203" s="403">
        <v>0</v>
      </c>
      <c r="K203" s="144"/>
      <c r="L203" s="205"/>
      <c r="M203" s="205"/>
      <c r="N203" s="144"/>
      <c r="O203" s="144"/>
      <c r="P203" s="242"/>
      <c r="Q203" s="164"/>
      <c r="R203" s="137"/>
      <c r="S203" s="134"/>
      <c r="T203" s="109"/>
      <c r="U203" s="109"/>
      <c r="V203" s="109"/>
      <c r="W203" s="109"/>
      <c r="X203" s="109"/>
      <c r="Y203" s="127"/>
    </row>
    <row r="204" spans="1:25" ht="15">
      <c r="A204" s="253">
        <v>81</v>
      </c>
      <c r="B204" s="254" t="s">
        <v>309</v>
      </c>
      <c r="C204" s="254" t="s">
        <v>310</v>
      </c>
      <c r="D204" s="372">
        <v>5.8400819999999999E-2</v>
      </c>
      <c r="E204" s="372">
        <v>0.97610081999999987</v>
      </c>
      <c r="F204" s="403">
        <v>0.54509632000000008</v>
      </c>
      <c r="G204" s="403">
        <v>0</v>
      </c>
      <c r="H204" s="402">
        <v>0</v>
      </c>
      <c r="I204" s="403">
        <v>0</v>
      </c>
      <c r="J204" s="403">
        <v>0</v>
      </c>
      <c r="K204" s="144"/>
      <c r="L204" s="205"/>
      <c r="M204" s="205"/>
      <c r="N204" s="144"/>
      <c r="O204" s="144"/>
      <c r="P204" s="242"/>
      <c r="Q204" s="164"/>
      <c r="R204" s="137"/>
      <c r="S204" s="134"/>
      <c r="T204" s="109"/>
      <c r="U204" s="109"/>
      <c r="V204" s="109"/>
      <c r="W204" s="109"/>
      <c r="X204" s="109"/>
      <c r="Y204" s="127"/>
    </row>
    <row r="205" spans="1:25" ht="15">
      <c r="A205" s="253">
        <v>82</v>
      </c>
      <c r="B205" s="254" t="s">
        <v>311</v>
      </c>
      <c r="C205" s="254" t="s">
        <v>312</v>
      </c>
      <c r="D205" s="372">
        <v>0</v>
      </c>
      <c r="E205" s="372">
        <v>10.2187</v>
      </c>
      <c r="F205" s="403">
        <v>6.7737548000000007</v>
      </c>
      <c r="G205" s="403">
        <v>0</v>
      </c>
      <c r="H205" s="402">
        <v>0</v>
      </c>
      <c r="I205" s="403">
        <v>0</v>
      </c>
      <c r="J205" s="403">
        <v>0</v>
      </c>
      <c r="K205" s="144"/>
      <c r="L205" s="205"/>
      <c r="M205" s="205"/>
      <c r="N205" s="144"/>
      <c r="O205" s="144"/>
      <c r="P205" s="242"/>
      <c r="Q205" s="164"/>
      <c r="R205" s="137"/>
      <c r="S205" s="134"/>
      <c r="T205" s="109"/>
      <c r="U205" s="109"/>
      <c r="V205" s="109"/>
      <c r="W205" s="109"/>
      <c r="X205" s="109"/>
      <c r="Y205" s="127"/>
    </row>
    <row r="206" spans="1:25" ht="15">
      <c r="A206" s="253">
        <v>83</v>
      </c>
      <c r="B206" s="254" t="s">
        <v>311</v>
      </c>
      <c r="C206" s="254" t="s">
        <v>313</v>
      </c>
      <c r="D206" s="372">
        <v>0</v>
      </c>
      <c r="E206" s="372">
        <v>1.82</v>
      </c>
      <c r="F206" s="403">
        <v>0.34208319999999992</v>
      </c>
      <c r="G206" s="403">
        <v>0</v>
      </c>
      <c r="H206" s="402">
        <v>0</v>
      </c>
      <c r="I206" s="403">
        <v>0</v>
      </c>
      <c r="J206" s="403">
        <v>0</v>
      </c>
      <c r="K206" s="144"/>
      <c r="L206" s="205"/>
      <c r="M206" s="205"/>
      <c r="N206" s="144"/>
      <c r="O206" s="144"/>
      <c r="P206" s="242"/>
      <c r="Q206" s="164"/>
      <c r="R206" s="137"/>
      <c r="S206" s="134"/>
      <c r="T206" s="109"/>
      <c r="U206" s="109"/>
      <c r="V206" s="109"/>
      <c r="W206" s="109"/>
      <c r="X206" s="109"/>
      <c r="Y206" s="127"/>
    </row>
    <row r="207" spans="1:25" ht="15">
      <c r="A207" s="253">
        <v>84</v>
      </c>
      <c r="B207" s="254" t="s">
        <v>314</v>
      </c>
      <c r="C207" s="254" t="s">
        <v>315</v>
      </c>
      <c r="D207" s="372">
        <v>0.73564199500000005</v>
      </c>
      <c r="E207" s="372">
        <v>9.278741994999999</v>
      </c>
      <c r="F207" s="403">
        <v>6.2264224929999985</v>
      </c>
      <c r="G207" s="403">
        <v>0</v>
      </c>
      <c r="H207" s="402">
        <v>0</v>
      </c>
      <c r="I207" s="403">
        <v>0</v>
      </c>
      <c r="J207" s="403">
        <v>0</v>
      </c>
      <c r="K207" s="144"/>
      <c r="L207" s="205"/>
      <c r="M207" s="205"/>
      <c r="N207" s="144"/>
      <c r="O207" s="144"/>
      <c r="P207" s="242"/>
      <c r="Q207" s="164"/>
      <c r="R207" s="137"/>
      <c r="S207" s="134"/>
      <c r="T207" s="109"/>
      <c r="U207" s="109"/>
      <c r="V207" s="109"/>
      <c r="W207" s="109"/>
      <c r="X207" s="109"/>
      <c r="Y207" s="127"/>
    </row>
    <row r="208" spans="1:25" ht="15">
      <c r="A208" s="253">
        <v>85</v>
      </c>
      <c r="B208" s="254" t="s">
        <v>316</v>
      </c>
      <c r="C208" s="254" t="s">
        <v>317</v>
      </c>
      <c r="D208" s="372">
        <v>0</v>
      </c>
      <c r="E208" s="372">
        <v>0.36</v>
      </c>
      <c r="F208" s="403">
        <v>0</v>
      </c>
      <c r="G208" s="403">
        <v>0</v>
      </c>
      <c r="H208" s="402">
        <v>0</v>
      </c>
      <c r="I208" s="403">
        <v>0</v>
      </c>
      <c r="J208" s="403">
        <v>0</v>
      </c>
      <c r="K208" s="144"/>
      <c r="L208" s="205"/>
      <c r="M208" s="205"/>
      <c r="N208" s="144"/>
      <c r="O208" s="144"/>
      <c r="P208" s="242"/>
      <c r="Q208" s="164"/>
      <c r="R208" s="137"/>
      <c r="S208" s="134"/>
      <c r="T208" s="109"/>
      <c r="U208" s="109"/>
      <c r="V208" s="109"/>
      <c r="W208" s="109"/>
      <c r="X208" s="109"/>
      <c r="Y208" s="127"/>
    </row>
    <row r="209" spans="1:25" ht="15">
      <c r="A209" s="250">
        <v>86</v>
      </c>
      <c r="B209" s="254" t="s">
        <v>318</v>
      </c>
      <c r="C209" s="254" t="s">
        <v>319</v>
      </c>
      <c r="D209" s="372">
        <v>0</v>
      </c>
      <c r="E209" s="372">
        <v>4.5</v>
      </c>
      <c r="F209" s="403">
        <v>4.4518822</v>
      </c>
      <c r="G209" s="403">
        <v>0</v>
      </c>
      <c r="H209" s="402">
        <v>0</v>
      </c>
      <c r="I209" s="403">
        <v>0</v>
      </c>
      <c r="J209" s="403">
        <v>0</v>
      </c>
      <c r="K209" s="144"/>
      <c r="L209" s="205"/>
      <c r="M209" s="205"/>
      <c r="N209" s="144"/>
      <c r="O209" s="144"/>
      <c r="P209" s="242"/>
      <c r="Q209" s="164"/>
      <c r="R209" s="137"/>
      <c r="S209" s="134"/>
      <c r="T209" s="109"/>
      <c r="U209" s="109"/>
      <c r="V209" s="109"/>
      <c r="W209" s="109"/>
      <c r="X209" s="109"/>
      <c r="Y209" s="127"/>
    </row>
    <row r="210" spans="1:25" ht="15">
      <c r="A210" s="250">
        <v>87</v>
      </c>
      <c r="B210" s="254" t="s">
        <v>320</v>
      </c>
      <c r="C210" s="254" t="s">
        <v>321</v>
      </c>
      <c r="D210" s="372">
        <v>0</v>
      </c>
      <c r="E210" s="372">
        <v>2.5</v>
      </c>
      <c r="F210" s="403">
        <v>2.4459178000000001</v>
      </c>
      <c r="G210" s="403">
        <v>0</v>
      </c>
      <c r="H210" s="402">
        <v>0</v>
      </c>
      <c r="I210" s="403">
        <v>0</v>
      </c>
      <c r="J210" s="403">
        <v>0</v>
      </c>
      <c r="K210" s="144"/>
      <c r="L210" s="205"/>
      <c r="M210" s="205"/>
      <c r="N210" s="144"/>
      <c r="O210" s="144"/>
      <c r="P210" s="242"/>
      <c r="Q210" s="164"/>
      <c r="R210" s="137"/>
      <c r="S210" s="134"/>
      <c r="T210" s="109"/>
      <c r="U210" s="109"/>
      <c r="V210" s="109"/>
      <c r="W210" s="109"/>
      <c r="X210" s="109"/>
      <c r="Y210" s="127"/>
    </row>
    <row r="211" spans="1:25" ht="15">
      <c r="A211" s="250">
        <v>88</v>
      </c>
      <c r="B211" s="254" t="s">
        <v>322</v>
      </c>
      <c r="C211" s="254" t="s">
        <v>323</v>
      </c>
      <c r="D211" s="372">
        <v>112.3</v>
      </c>
      <c r="E211" s="372">
        <v>178.33</v>
      </c>
      <c r="F211" s="403">
        <v>158.42583124900003</v>
      </c>
      <c r="G211" s="403">
        <v>9.0656794000000005</v>
      </c>
      <c r="H211" s="402">
        <v>6.46</v>
      </c>
      <c r="I211" s="403">
        <v>9.93</v>
      </c>
      <c r="J211" s="403">
        <v>3.74</v>
      </c>
      <c r="K211" s="144"/>
      <c r="L211" s="205"/>
      <c r="M211" s="205"/>
      <c r="N211" s="144"/>
      <c r="O211" s="144"/>
      <c r="P211" s="242"/>
      <c r="Q211" s="164"/>
      <c r="R211" s="137"/>
      <c r="S211" s="134"/>
      <c r="T211" s="109"/>
      <c r="U211" s="109"/>
      <c r="V211" s="109"/>
      <c r="W211" s="109"/>
      <c r="X211" s="109"/>
      <c r="Y211" s="127"/>
    </row>
    <row r="212" spans="1:25" ht="15">
      <c r="A212" s="250">
        <v>89</v>
      </c>
      <c r="B212" s="254" t="s">
        <v>324</v>
      </c>
      <c r="C212" s="254" t="s">
        <v>325</v>
      </c>
      <c r="D212" s="372">
        <v>0.181521654</v>
      </c>
      <c r="E212" s="372">
        <v>2.0915216540000001</v>
      </c>
      <c r="F212" s="403">
        <v>0.90065353700000006</v>
      </c>
      <c r="G212" s="403">
        <v>9.7393935000000001E-2</v>
      </c>
      <c r="H212" s="402">
        <v>0</v>
      </c>
      <c r="I212" s="403">
        <v>0.1</v>
      </c>
      <c r="J212" s="403">
        <v>0</v>
      </c>
      <c r="K212" s="144"/>
      <c r="L212" s="205"/>
      <c r="M212" s="205"/>
      <c r="N212" s="144"/>
      <c r="O212" s="144"/>
      <c r="P212" s="242"/>
      <c r="Q212" s="164"/>
      <c r="R212" s="137"/>
      <c r="S212" s="134"/>
      <c r="T212" s="109"/>
      <c r="U212" s="109"/>
      <c r="V212" s="109"/>
      <c r="W212" s="109"/>
      <c r="X212" s="109"/>
      <c r="Y212" s="127"/>
    </row>
    <row r="213" spans="1:25" ht="15">
      <c r="A213" s="250">
        <v>90</v>
      </c>
      <c r="B213" s="254" t="s">
        <v>326</v>
      </c>
      <c r="C213" s="254" t="s">
        <v>327</v>
      </c>
      <c r="D213" s="372">
        <v>0</v>
      </c>
      <c r="E213" s="372">
        <v>4.9000000000000004</v>
      </c>
      <c r="F213" s="403">
        <v>4.8586862929999999</v>
      </c>
      <c r="G213" s="403">
        <v>0</v>
      </c>
      <c r="H213" s="402">
        <v>0</v>
      </c>
      <c r="I213" s="403">
        <v>0</v>
      </c>
      <c r="J213" s="403">
        <v>0</v>
      </c>
      <c r="K213" s="144"/>
      <c r="L213" s="205"/>
      <c r="M213" s="205"/>
      <c r="N213" s="144"/>
      <c r="O213" s="144"/>
      <c r="P213" s="242"/>
      <c r="Q213" s="164"/>
      <c r="R213" s="137"/>
      <c r="S213" s="134"/>
      <c r="T213" s="109"/>
      <c r="U213" s="109"/>
      <c r="V213" s="109"/>
      <c r="W213" s="109"/>
      <c r="X213" s="109"/>
      <c r="Y213" s="127"/>
    </row>
    <row r="214" spans="1:25" ht="15">
      <c r="A214" s="250">
        <v>91</v>
      </c>
      <c r="B214" s="254" t="s">
        <v>328</v>
      </c>
      <c r="C214" s="254" t="s">
        <v>329</v>
      </c>
      <c r="D214" s="372">
        <v>0.123015053</v>
      </c>
      <c r="E214" s="372">
        <v>1.571115053</v>
      </c>
      <c r="F214" s="403">
        <v>1.0447447809999999</v>
      </c>
      <c r="G214" s="403">
        <v>0</v>
      </c>
      <c r="H214" s="402">
        <v>0</v>
      </c>
      <c r="I214" s="403">
        <v>0</v>
      </c>
      <c r="J214" s="403">
        <v>0</v>
      </c>
      <c r="K214" s="144"/>
      <c r="L214" s="205"/>
      <c r="M214" s="205"/>
      <c r="N214" s="144"/>
      <c r="O214" s="144"/>
      <c r="P214" s="242"/>
      <c r="Q214" s="164"/>
      <c r="R214" s="137"/>
      <c r="S214" s="134"/>
      <c r="T214" s="109"/>
      <c r="U214" s="109"/>
      <c r="V214" s="109"/>
      <c r="W214" s="109"/>
      <c r="X214" s="109"/>
      <c r="Y214" s="127"/>
    </row>
    <row r="215" spans="1:25" ht="15">
      <c r="A215" s="250">
        <v>92</v>
      </c>
      <c r="B215" s="254" t="s">
        <v>330</v>
      </c>
      <c r="C215" s="249" t="s">
        <v>240</v>
      </c>
      <c r="D215" s="372">
        <v>5.4</v>
      </c>
      <c r="E215" s="372">
        <v>25.67</v>
      </c>
      <c r="F215" s="403">
        <v>22.810187341999999</v>
      </c>
      <c r="G215" s="403">
        <v>1.7308232800000001</v>
      </c>
      <c r="H215" s="402">
        <v>1.4</v>
      </c>
      <c r="I215" s="403">
        <v>2.2800000000000002</v>
      </c>
      <c r="J215" s="403">
        <v>0.57999999999999996</v>
      </c>
      <c r="K215" s="144"/>
      <c r="L215" s="205"/>
      <c r="M215" s="205"/>
      <c r="N215" s="144"/>
      <c r="O215" s="144"/>
      <c r="P215" s="242"/>
      <c r="Q215" s="164"/>
      <c r="R215" s="137"/>
      <c r="S215" s="134"/>
      <c r="T215" s="109"/>
      <c r="U215" s="109"/>
      <c r="V215" s="109"/>
      <c r="W215" s="109"/>
      <c r="X215" s="109"/>
      <c r="Y215" s="127"/>
    </row>
    <row r="216" spans="1:25" ht="15">
      <c r="A216" s="250">
        <v>93</v>
      </c>
      <c r="B216" s="254" t="s">
        <v>7</v>
      </c>
      <c r="C216" s="249" t="s">
        <v>241</v>
      </c>
      <c r="D216" s="372">
        <v>50.1</v>
      </c>
      <c r="E216" s="372">
        <v>54.520200000000003</v>
      </c>
      <c r="F216" s="403">
        <v>43.546131691999996</v>
      </c>
      <c r="G216" s="403">
        <v>1.1514468179999999</v>
      </c>
      <c r="H216" s="402">
        <v>1.75</v>
      </c>
      <c r="I216" s="403">
        <v>4.6899999999999995</v>
      </c>
      <c r="J216" s="403">
        <v>1.18</v>
      </c>
      <c r="K216" s="144"/>
      <c r="L216" s="205"/>
      <c r="M216" s="205"/>
      <c r="N216" s="144"/>
      <c r="O216" s="144"/>
      <c r="P216" s="242"/>
      <c r="Q216" s="164"/>
      <c r="R216" s="137"/>
      <c r="S216" s="134"/>
      <c r="T216" s="109"/>
      <c r="U216" s="109"/>
      <c r="V216" s="109"/>
      <c r="W216" s="109"/>
      <c r="X216" s="109"/>
      <c r="Y216" s="127"/>
    </row>
    <row r="217" spans="1:25" ht="15">
      <c r="A217" s="250">
        <v>94</v>
      </c>
      <c r="B217" s="254" t="s">
        <v>331</v>
      </c>
      <c r="C217" s="249" t="s">
        <v>212</v>
      </c>
      <c r="D217" s="372">
        <v>22.3</v>
      </c>
      <c r="E217" s="372">
        <v>26</v>
      </c>
      <c r="F217" s="403">
        <v>25.951692680000004</v>
      </c>
      <c r="G217" s="403">
        <v>0</v>
      </c>
      <c r="H217" s="402">
        <v>0</v>
      </c>
      <c r="I217" s="403">
        <v>0</v>
      </c>
      <c r="J217" s="403">
        <v>0</v>
      </c>
      <c r="K217" s="144"/>
      <c r="L217" s="205"/>
      <c r="M217" s="205"/>
      <c r="N217" s="144"/>
      <c r="O217" s="144"/>
      <c r="P217" s="242"/>
      <c r="Q217" s="164"/>
      <c r="R217" s="137"/>
      <c r="S217" s="134"/>
      <c r="T217" s="109"/>
      <c r="U217" s="109"/>
      <c r="V217" s="109"/>
      <c r="W217" s="109"/>
      <c r="X217" s="109"/>
      <c r="Y217" s="127"/>
    </row>
    <row r="218" spans="1:25" ht="15">
      <c r="A218" s="250">
        <v>95</v>
      </c>
      <c r="B218" s="254" t="s">
        <v>21</v>
      </c>
      <c r="C218" s="249" t="s">
        <v>213</v>
      </c>
      <c r="D218" s="372">
        <v>23.2</v>
      </c>
      <c r="E218" s="372">
        <v>25.5</v>
      </c>
      <c r="F218" s="403">
        <v>25.262819756000003</v>
      </c>
      <c r="G218" s="403">
        <v>0.12065559000000001</v>
      </c>
      <c r="H218" s="402">
        <v>0</v>
      </c>
      <c r="I218" s="403">
        <v>0.12</v>
      </c>
      <c r="J218" s="403">
        <v>0</v>
      </c>
      <c r="K218" s="144"/>
      <c r="L218" s="205"/>
      <c r="M218" s="205"/>
      <c r="N218" s="144"/>
      <c r="O218" s="144"/>
      <c r="P218" s="242"/>
      <c r="Q218" s="164"/>
      <c r="R218" s="137"/>
      <c r="S218" s="134"/>
      <c r="T218" s="109"/>
      <c r="U218" s="109"/>
      <c r="V218" s="109"/>
      <c r="W218" s="109"/>
      <c r="X218" s="109"/>
      <c r="Y218" s="127"/>
    </row>
    <row r="219" spans="1:25" ht="15">
      <c r="A219" s="250">
        <v>96</v>
      </c>
      <c r="B219" s="254" t="s">
        <v>8</v>
      </c>
      <c r="C219" s="249" t="s">
        <v>239</v>
      </c>
      <c r="D219" s="372">
        <v>0.9</v>
      </c>
      <c r="E219" s="372">
        <v>0.9</v>
      </c>
      <c r="F219" s="403">
        <v>0.65940379999999987</v>
      </c>
      <c r="G219" s="403">
        <v>5.8486299999999998E-2</v>
      </c>
      <c r="H219" s="402">
        <v>0</v>
      </c>
      <c r="I219" s="403">
        <v>0.15</v>
      </c>
      <c r="J219" s="403">
        <v>0</v>
      </c>
      <c r="K219" s="144"/>
      <c r="L219" s="205"/>
      <c r="M219" s="205"/>
      <c r="N219" s="144"/>
      <c r="O219" s="144"/>
      <c r="P219" s="242"/>
      <c r="Q219" s="164"/>
      <c r="R219" s="137"/>
      <c r="S219" s="134"/>
      <c r="T219" s="109"/>
      <c r="U219" s="109"/>
      <c r="V219" s="109"/>
      <c r="W219" s="109"/>
      <c r="X219" s="109"/>
      <c r="Y219" s="127"/>
    </row>
    <row r="220" spans="1:25" ht="15">
      <c r="A220" s="251" t="s">
        <v>20</v>
      </c>
      <c r="B220" s="340"/>
      <c r="C220" s="252"/>
      <c r="D220" s="372"/>
      <c r="E220" s="372"/>
      <c r="F220" s="403"/>
      <c r="G220" s="403"/>
      <c r="H220" s="402"/>
      <c r="I220" s="403"/>
      <c r="J220" s="403"/>
      <c r="K220" s="144"/>
      <c r="L220" s="205"/>
      <c r="M220" s="205"/>
      <c r="N220" s="144"/>
      <c r="O220" s="144"/>
      <c r="P220" s="242"/>
      <c r="Q220" s="164"/>
      <c r="R220" s="137"/>
      <c r="S220" s="134"/>
      <c r="T220" s="109"/>
      <c r="U220" s="109"/>
      <c r="V220" s="109"/>
      <c r="W220" s="109"/>
      <c r="X220" s="109"/>
      <c r="Y220" s="127"/>
    </row>
    <row r="221" spans="1:25" ht="15">
      <c r="A221" s="250">
        <v>97</v>
      </c>
      <c r="B221" s="254" t="s">
        <v>332</v>
      </c>
      <c r="C221" s="249" t="s">
        <v>214</v>
      </c>
      <c r="D221" s="372">
        <v>37.914823415819995</v>
      </c>
      <c r="E221" s="372">
        <v>40.044823415819991</v>
      </c>
      <c r="F221" s="403">
        <v>25.166475260276787</v>
      </c>
      <c r="G221" s="403">
        <v>0</v>
      </c>
      <c r="H221" s="402">
        <v>0</v>
      </c>
      <c r="I221" s="403">
        <v>0</v>
      </c>
      <c r="J221" s="403">
        <v>0</v>
      </c>
      <c r="K221" s="144"/>
      <c r="L221" s="205"/>
      <c r="M221" s="205"/>
      <c r="N221" s="144"/>
      <c r="O221" s="144"/>
      <c r="P221" s="242"/>
      <c r="Q221" s="164"/>
      <c r="R221" s="137"/>
      <c r="S221" s="134"/>
      <c r="T221" s="109"/>
      <c r="U221" s="109"/>
      <c r="V221" s="109"/>
      <c r="W221" s="109"/>
      <c r="X221" s="109"/>
      <c r="Y221" s="127"/>
    </row>
    <row r="222" spans="1:25" ht="15">
      <c r="A222" s="250">
        <v>98</v>
      </c>
      <c r="B222" s="254" t="s">
        <v>333</v>
      </c>
      <c r="C222" s="249" t="s">
        <v>334</v>
      </c>
      <c r="D222" s="372">
        <v>203.00928792569658</v>
      </c>
      <c r="E222" s="372">
        <v>231.38928792569658</v>
      </c>
      <c r="F222" s="403">
        <v>196.97796339300004</v>
      </c>
      <c r="G222" s="403">
        <v>0</v>
      </c>
      <c r="H222" s="402">
        <v>0</v>
      </c>
      <c r="I222" s="403">
        <v>0</v>
      </c>
      <c r="J222" s="403">
        <v>0</v>
      </c>
      <c r="K222" s="144"/>
      <c r="L222" s="205"/>
      <c r="M222" s="205"/>
      <c r="N222" s="144"/>
      <c r="O222" s="144"/>
      <c r="P222" s="242"/>
      <c r="Q222" s="164"/>
      <c r="R222" s="137"/>
      <c r="S222" s="134"/>
      <c r="T222" s="109"/>
      <c r="U222" s="109"/>
      <c r="V222" s="109"/>
      <c r="W222" s="109"/>
      <c r="X222" s="109"/>
      <c r="Y222" s="127"/>
    </row>
    <row r="223" spans="1:25" ht="15">
      <c r="A223" s="250">
        <v>99</v>
      </c>
      <c r="B223" s="254" t="s">
        <v>335</v>
      </c>
      <c r="C223" s="249" t="s">
        <v>336</v>
      </c>
      <c r="D223" s="372">
        <v>7.9000442282176024</v>
      </c>
      <c r="E223" s="372">
        <v>8.8100442282176026</v>
      </c>
      <c r="F223" s="403">
        <v>5.7743000149999988</v>
      </c>
      <c r="G223" s="403">
        <v>0</v>
      </c>
      <c r="H223" s="402">
        <v>0</v>
      </c>
      <c r="I223" s="403">
        <v>0</v>
      </c>
      <c r="J223" s="403">
        <v>0</v>
      </c>
      <c r="K223" s="144"/>
      <c r="L223" s="205"/>
      <c r="M223" s="205"/>
      <c r="N223" s="144"/>
      <c r="O223" s="144"/>
      <c r="P223" s="242"/>
      <c r="Q223" s="164"/>
      <c r="R223" s="137"/>
      <c r="S223" s="134"/>
      <c r="T223" s="109"/>
      <c r="U223" s="109"/>
      <c r="V223" s="109"/>
      <c r="W223" s="109"/>
      <c r="X223" s="109"/>
      <c r="Y223" s="127"/>
    </row>
    <row r="224" spans="1:25" ht="15">
      <c r="A224" s="250">
        <v>100</v>
      </c>
      <c r="B224" s="254" t="s">
        <v>337</v>
      </c>
      <c r="C224" s="249" t="s">
        <v>338</v>
      </c>
      <c r="D224" s="372">
        <v>7.9460415745245463</v>
      </c>
      <c r="E224" s="372">
        <v>8.876041574524546</v>
      </c>
      <c r="F224" s="403">
        <v>6.8595635869999994</v>
      </c>
      <c r="G224" s="403">
        <v>0</v>
      </c>
      <c r="H224" s="402">
        <v>0</v>
      </c>
      <c r="I224" s="403">
        <v>0</v>
      </c>
      <c r="J224" s="403">
        <v>0</v>
      </c>
      <c r="K224" s="144"/>
      <c r="L224" s="205"/>
      <c r="M224" s="205"/>
      <c r="N224" s="144"/>
      <c r="O224" s="144"/>
      <c r="P224" s="242"/>
      <c r="Q224" s="164"/>
      <c r="R224" s="137"/>
      <c r="S224" s="134"/>
      <c r="T224" s="109"/>
      <c r="U224" s="109"/>
      <c r="V224" s="109"/>
      <c r="W224" s="109"/>
      <c r="X224" s="109"/>
      <c r="Y224" s="127"/>
    </row>
    <row r="225" spans="1:25" ht="15">
      <c r="A225" s="250">
        <v>101</v>
      </c>
      <c r="B225" s="254" t="s">
        <v>339</v>
      </c>
      <c r="C225" s="249" t="s">
        <v>340</v>
      </c>
      <c r="D225" s="372">
        <v>34.601503759398497</v>
      </c>
      <c r="E225" s="372">
        <v>39.351503759398497</v>
      </c>
      <c r="F225" s="403">
        <v>35.635430165000002</v>
      </c>
      <c r="G225" s="403">
        <v>0</v>
      </c>
      <c r="H225" s="402">
        <v>0</v>
      </c>
      <c r="I225" s="403">
        <v>0</v>
      </c>
      <c r="J225" s="403">
        <v>0</v>
      </c>
      <c r="K225" s="144"/>
      <c r="L225" s="205"/>
      <c r="M225" s="205"/>
      <c r="N225" s="144"/>
      <c r="O225" s="144"/>
      <c r="P225" s="242"/>
      <c r="Q225" s="164"/>
      <c r="R225" s="137"/>
      <c r="S225" s="134"/>
      <c r="T225" s="109"/>
      <c r="U225" s="109"/>
      <c r="V225" s="109"/>
      <c r="W225" s="109"/>
      <c r="X225" s="109"/>
      <c r="Y225" s="127"/>
    </row>
    <row r="226" spans="1:25" ht="15">
      <c r="A226" s="250">
        <v>102</v>
      </c>
      <c r="B226" s="254" t="s">
        <v>341</v>
      </c>
      <c r="C226" s="249" t="s">
        <v>342</v>
      </c>
      <c r="D226" s="372">
        <v>73.480760725342776</v>
      </c>
      <c r="E226" s="372">
        <v>84.250760725342772</v>
      </c>
      <c r="F226" s="403">
        <v>71.846610774999988</v>
      </c>
      <c r="G226" s="403">
        <v>0</v>
      </c>
      <c r="H226" s="402">
        <v>0</v>
      </c>
      <c r="I226" s="403">
        <v>0</v>
      </c>
      <c r="J226" s="403">
        <v>0</v>
      </c>
      <c r="K226" s="144"/>
      <c r="L226" s="205"/>
      <c r="M226" s="205"/>
      <c r="N226" s="144"/>
      <c r="O226" s="144"/>
      <c r="P226" s="242"/>
      <c r="Q226" s="164"/>
      <c r="R226" s="137"/>
      <c r="S226" s="134"/>
      <c r="T226" s="109"/>
      <c r="U226" s="109"/>
      <c r="V226" s="109"/>
      <c r="W226" s="109"/>
      <c r="X226" s="109"/>
      <c r="Y226" s="127"/>
    </row>
    <row r="227" spans="1:25" ht="15">
      <c r="A227" s="251" t="s">
        <v>352</v>
      </c>
      <c r="B227" s="340"/>
      <c r="C227" s="252"/>
      <c r="D227" s="372"/>
      <c r="E227" s="372"/>
      <c r="F227" s="403"/>
      <c r="G227" s="403"/>
      <c r="H227" s="402"/>
      <c r="I227" s="403"/>
      <c r="J227" s="403"/>
      <c r="K227" s="144"/>
      <c r="L227" s="205"/>
      <c r="M227" s="205"/>
      <c r="N227" s="144"/>
      <c r="O227" s="144"/>
      <c r="P227" s="242"/>
      <c r="Q227" s="164"/>
      <c r="R227" s="137"/>
      <c r="S227" s="134"/>
      <c r="T227" s="109"/>
      <c r="U227" s="109"/>
      <c r="V227" s="109"/>
      <c r="W227" s="109"/>
      <c r="X227" s="109"/>
      <c r="Y227" s="127"/>
    </row>
    <row r="228" spans="1:25" ht="15">
      <c r="A228" s="250">
        <v>103</v>
      </c>
      <c r="B228" s="254" t="s">
        <v>353</v>
      </c>
      <c r="C228" s="249" t="s">
        <v>354</v>
      </c>
      <c r="D228" s="372">
        <v>22.2</v>
      </c>
      <c r="E228" s="372">
        <v>23.869</v>
      </c>
      <c r="F228" s="403">
        <v>20.997974678000006</v>
      </c>
      <c r="G228" s="403">
        <v>5.9600000000000007E-2</v>
      </c>
      <c r="H228" s="402">
        <v>0</v>
      </c>
      <c r="I228" s="403">
        <v>0.62000000000000011</v>
      </c>
      <c r="J228" s="403">
        <v>1.6800000000000002</v>
      </c>
      <c r="K228" s="144"/>
      <c r="L228" s="205"/>
      <c r="M228" s="205"/>
      <c r="N228" s="144"/>
      <c r="O228" s="144"/>
      <c r="P228" s="242"/>
      <c r="Q228" s="164"/>
      <c r="R228" s="137"/>
      <c r="S228" s="134"/>
      <c r="T228" s="109"/>
      <c r="U228" s="109"/>
      <c r="V228" s="109"/>
      <c r="W228" s="109"/>
      <c r="X228" s="109"/>
      <c r="Y228" s="127"/>
    </row>
    <row r="229" spans="1:25" ht="15">
      <c r="A229" s="250">
        <v>104</v>
      </c>
      <c r="B229" s="254" t="s">
        <v>355</v>
      </c>
      <c r="C229" s="249" t="s">
        <v>356</v>
      </c>
      <c r="D229" s="372">
        <v>1.2</v>
      </c>
      <c r="E229" s="372">
        <v>1.325</v>
      </c>
      <c r="F229" s="403">
        <v>1.2368589190000001</v>
      </c>
      <c r="G229" s="403">
        <v>0</v>
      </c>
      <c r="H229" s="402">
        <v>0</v>
      </c>
      <c r="I229" s="403">
        <v>0</v>
      </c>
      <c r="J229" s="403">
        <v>0</v>
      </c>
      <c r="K229" s="144"/>
      <c r="L229" s="205"/>
      <c r="M229" s="205"/>
      <c r="N229" s="144"/>
      <c r="O229" s="144"/>
      <c r="P229" s="242"/>
      <c r="Q229" s="164"/>
      <c r="R229" s="137"/>
      <c r="S229" s="134"/>
      <c r="T229" s="109"/>
      <c r="U229" s="109"/>
      <c r="V229" s="109"/>
      <c r="W229" s="109"/>
      <c r="X229" s="109"/>
      <c r="Y229" s="127"/>
    </row>
    <row r="230" spans="1:25" ht="15">
      <c r="A230" s="250">
        <v>105</v>
      </c>
      <c r="B230" s="254" t="s">
        <v>357</v>
      </c>
      <c r="C230" s="249" t="s">
        <v>358</v>
      </c>
      <c r="D230" s="372">
        <v>8.3000000000000007</v>
      </c>
      <c r="E230" s="372">
        <v>8.8811000000000018</v>
      </c>
      <c r="F230" s="403">
        <v>8.0224746890000009</v>
      </c>
      <c r="G230" s="403">
        <v>0</v>
      </c>
      <c r="H230" s="402">
        <v>0</v>
      </c>
      <c r="I230" s="403">
        <v>0</v>
      </c>
      <c r="J230" s="403">
        <v>0</v>
      </c>
      <c r="K230" s="144"/>
      <c r="L230" s="205"/>
      <c r="M230" s="205"/>
      <c r="N230" s="144"/>
      <c r="O230" s="144"/>
      <c r="P230" s="242"/>
      <c r="Q230" s="164"/>
      <c r="R230" s="137"/>
      <c r="S230" s="134"/>
      <c r="T230" s="109"/>
      <c r="U230" s="109"/>
      <c r="V230" s="109"/>
      <c r="W230" s="109"/>
      <c r="X230" s="109"/>
      <c r="Y230" s="127"/>
    </row>
    <row r="231" spans="1:25" ht="15">
      <c r="A231" s="250">
        <v>106</v>
      </c>
      <c r="B231" s="254" t="s">
        <v>359</v>
      </c>
      <c r="C231" s="249" t="s">
        <v>360</v>
      </c>
      <c r="D231" s="372">
        <v>6.6</v>
      </c>
      <c r="E231" s="372">
        <v>9.5</v>
      </c>
      <c r="F231" s="403">
        <v>9.1950013900000016</v>
      </c>
      <c r="G231" s="403">
        <v>0</v>
      </c>
      <c r="H231" s="402">
        <v>0</v>
      </c>
      <c r="I231" s="403">
        <v>0</v>
      </c>
      <c r="J231" s="403">
        <v>0</v>
      </c>
      <c r="K231" s="144"/>
      <c r="L231" s="205"/>
      <c r="M231" s="205"/>
      <c r="N231" s="144"/>
      <c r="O231" s="144"/>
      <c r="P231" s="242"/>
      <c r="Q231" s="164"/>
      <c r="R231" s="137"/>
      <c r="S231" s="134"/>
      <c r="T231" s="109"/>
      <c r="U231" s="109"/>
      <c r="V231" s="109"/>
      <c r="W231" s="109"/>
      <c r="X231" s="109"/>
      <c r="Y231" s="127"/>
    </row>
    <row r="232" spans="1:25" ht="15">
      <c r="A232" s="250">
        <v>107</v>
      </c>
      <c r="B232" s="254" t="s">
        <v>26</v>
      </c>
      <c r="C232" s="249" t="s">
        <v>180</v>
      </c>
      <c r="D232" s="372">
        <v>194.1</v>
      </c>
      <c r="E232" s="372">
        <v>213.99</v>
      </c>
      <c r="F232" s="403">
        <v>190.09100728800004</v>
      </c>
      <c r="G232" s="403">
        <v>8.9116999999999997</v>
      </c>
      <c r="H232" s="402">
        <v>0</v>
      </c>
      <c r="I232" s="403">
        <v>8.91</v>
      </c>
      <c r="J232" s="403">
        <v>0</v>
      </c>
      <c r="K232" s="144"/>
      <c r="L232" s="205"/>
      <c r="M232" s="205"/>
      <c r="N232" s="144"/>
      <c r="O232" s="144"/>
      <c r="P232" s="242"/>
      <c r="Q232" s="164"/>
      <c r="R232" s="137"/>
      <c r="S232" s="134"/>
      <c r="T232" s="109"/>
      <c r="U232" s="109"/>
      <c r="V232" s="109"/>
      <c r="W232" s="109"/>
      <c r="X232" s="109"/>
      <c r="Y232" s="127"/>
    </row>
    <row r="233" spans="1:25" ht="15">
      <c r="A233" s="251" t="s">
        <v>343</v>
      </c>
      <c r="B233" s="340"/>
      <c r="C233" s="252"/>
      <c r="D233" s="372"/>
      <c r="E233" s="372"/>
      <c r="F233" s="403"/>
      <c r="G233" s="403"/>
      <c r="H233" s="402"/>
      <c r="I233" s="403"/>
      <c r="J233" s="403"/>
      <c r="K233" s="144"/>
      <c r="L233" s="205"/>
      <c r="M233" s="205"/>
      <c r="N233" s="144"/>
      <c r="O233" s="144"/>
      <c r="P233" s="242"/>
      <c r="Q233" s="164"/>
      <c r="R233" s="137"/>
      <c r="S233" s="134"/>
      <c r="T233" s="109"/>
      <c r="U233" s="109"/>
      <c r="V233" s="109"/>
      <c r="W233" s="109"/>
      <c r="X233" s="109"/>
      <c r="Y233" s="127"/>
    </row>
    <row r="234" spans="1:25" ht="15">
      <c r="A234" s="250">
        <v>108</v>
      </c>
      <c r="B234" s="254" t="s">
        <v>344</v>
      </c>
      <c r="C234" s="249" t="s">
        <v>345</v>
      </c>
      <c r="D234" s="372">
        <v>8.6</v>
      </c>
      <c r="E234" s="372">
        <v>9.4466999999999999</v>
      </c>
      <c r="F234" s="403">
        <v>8.1181286030000006</v>
      </c>
      <c r="G234" s="403">
        <v>0.15594853999999997</v>
      </c>
      <c r="H234" s="402">
        <v>0</v>
      </c>
      <c r="I234" s="403">
        <v>0.16</v>
      </c>
      <c r="J234" s="403">
        <v>0</v>
      </c>
      <c r="K234" s="144"/>
      <c r="L234" s="205"/>
      <c r="M234" s="205"/>
      <c r="N234" s="144"/>
      <c r="O234" s="144"/>
      <c r="P234" s="242"/>
      <c r="Q234" s="164"/>
      <c r="R234" s="137"/>
      <c r="S234" s="134"/>
      <c r="T234" s="109"/>
      <c r="U234" s="109"/>
      <c r="V234" s="109"/>
      <c r="W234" s="109"/>
      <c r="X234" s="109"/>
      <c r="Y234" s="127"/>
    </row>
    <row r="235" spans="1:25" ht="15">
      <c r="A235" s="250">
        <v>109</v>
      </c>
      <c r="B235" s="254" t="s">
        <v>346</v>
      </c>
      <c r="C235" s="249" t="s">
        <v>347</v>
      </c>
      <c r="D235" s="372">
        <v>0</v>
      </c>
      <c r="E235" s="372">
        <v>0</v>
      </c>
      <c r="F235" s="403">
        <v>0</v>
      </c>
      <c r="G235" s="403">
        <v>0</v>
      </c>
      <c r="H235" s="402">
        <v>0</v>
      </c>
      <c r="I235" s="403">
        <v>0</v>
      </c>
      <c r="J235" s="403">
        <v>0</v>
      </c>
      <c r="K235" s="144"/>
      <c r="L235" s="205"/>
      <c r="M235" s="205"/>
      <c r="N235" s="144"/>
      <c r="O235" s="144"/>
      <c r="P235" s="242"/>
      <c r="Q235" s="164"/>
      <c r="R235" s="137"/>
      <c r="S235" s="134"/>
      <c r="T235" s="109"/>
      <c r="U235" s="109"/>
      <c r="V235" s="109"/>
      <c r="W235" s="109"/>
      <c r="X235" s="109"/>
      <c r="Y235" s="127"/>
    </row>
    <row r="236" spans="1:25" ht="15">
      <c r="A236" s="250">
        <v>110</v>
      </c>
      <c r="B236" s="254" t="s">
        <v>348</v>
      </c>
      <c r="C236" s="249" t="s">
        <v>349</v>
      </c>
      <c r="D236" s="372">
        <v>0</v>
      </c>
      <c r="E236" s="372">
        <v>0</v>
      </c>
      <c r="F236" s="403">
        <v>0</v>
      </c>
      <c r="G236" s="403">
        <v>0</v>
      </c>
      <c r="H236" s="402">
        <v>0</v>
      </c>
      <c r="I236" s="403">
        <v>0</v>
      </c>
      <c r="J236" s="403">
        <v>0</v>
      </c>
      <c r="K236" s="144"/>
      <c r="L236" s="205"/>
      <c r="M236" s="205"/>
      <c r="N236" s="144"/>
      <c r="O236" s="144"/>
      <c r="P236" s="242"/>
      <c r="Q236" s="164"/>
      <c r="R236" s="137"/>
      <c r="S236" s="134"/>
      <c r="T236" s="109"/>
      <c r="U236" s="109"/>
      <c r="V236" s="109"/>
      <c r="W236" s="109"/>
      <c r="X236" s="109"/>
      <c r="Y236" s="127"/>
    </row>
    <row r="237" spans="1:25" ht="15">
      <c r="A237" s="250">
        <v>111</v>
      </c>
      <c r="B237" s="254" t="s">
        <v>350</v>
      </c>
      <c r="C237" s="249" t="s">
        <v>351</v>
      </c>
      <c r="D237" s="372">
        <v>0.7</v>
      </c>
      <c r="E237" s="372">
        <v>0.71810000000000007</v>
      </c>
      <c r="F237" s="403">
        <v>0.71523702200000017</v>
      </c>
      <c r="G237" s="403">
        <v>0</v>
      </c>
      <c r="H237" s="402">
        <v>0</v>
      </c>
      <c r="I237" s="403">
        <v>0</v>
      </c>
      <c r="J237" s="403">
        <v>0</v>
      </c>
      <c r="K237" s="144"/>
      <c r="L237" s="205"/>
      <c r="M237" s="205"/>
      <c r="N237" s="144"/>
      <c r="O237" s="144"/>
      <c r="P237" s="242"/>
      <c r="Q237" s="164"/>
      <c r="R237" s="137"/>
      <c r="S237" s="134"/>
      <c r="T237" s="109"/>
      <c r="U237" s="109"/>
      <c r="V237" s="109"/>
      <c r="W237" s="109"/>
      <c r="X237" s="109"/>
      <c r="Y237" s="127"/>
    </row>
    <row r="238" spans="1:25" ht="15">
      <c r="A238" s="251" t="s">
        <v>19</v>
      </c>
      <c r="B238" s="340"/>
      <c r="C238" s="252"/>
      <c r="D238" s="372"/>
      <c r="E238" s="372"/>
      <c r="F238" s="403"/>
      <c r="G238" s="403"/>
      <c r="H238" s="402"/>
      <c r="I238" s="403"/>
      <c r="J238" s="403"/>
      <c r="K238" s="144"/>
      <c r="L238" s="205"/>
      <c r="M238" s="205"/>
      <c r="N238" s="144"/>
      <c r="O238" s="144"/>
      <c r="P238" s="242"/>
      <c r="Q238" s="164"/>
      <c r="R238" s="137"/>
      <c r="S238" s="134"/>
      <c r="T238" s="109"/>
      <c r="U238" s="109"/>
      <c r="V238" s="109"/>
      <c r="W238" s="109"/>
      <c r="X238" s="109"/>
      <c r="Y238" s="127"/>
    </row>
    <row r="239" spans="1:25" ht="15">
      <c r="A239" s="250">
        <v>112</v>
      </c>
      <c r="B239" s="254" t="s">
        <v>604</v>
      </c>
      <c r="C239" s="249" t="s">
        <v>361</v>
      </c>
      <c r="D239" s="372">
        <v>225.07553618400001</v>
      </c>
      <c r="E239" s="372">
        <v>248.56553618400002</v>
      </c>
      <c r="F239" s="403">
        <v>205.49684126411998</v>
      </c>
      <c r="G239" s="403">
        <v>5.680306485</v>
      </c>
      <c r="H239" s="402">
        <v>12</v>
      </c>
      <c r="I239" s="403">
        <v>14.79</v>
      </c>
      <c r="J239" s="403">
        <v>4.93</v>
      </c>
      <c r="K239" s="144"/>
      <c r="L239" s="205"/>
      <c r="M239" s="205"/>
      <c r="N239" s="144"/>
      <c r="O239" s="144"/>
      <c r="P239" s="242"/>
      <c r="Q239" s="164"/>
      <c r="R239" s="137"/>
      <c r="S239" s="134"/>
      <c r="T239" s="109"/>
      <c r="U239" s="109"/>
      <c r="V239" s="109"/>
      <c r="W239" s="109"/>
      <c r="X239" s="109"/>
      <c r="Y239" s="127"/>
    </row>
    <row r="240" spans="1:25" ht="15">
      <c r="A240" s="250">
        <v>113</v>
      </c>
      <c r="B240" s="254" t="s">
        <v>605</v>
      </c>
      <c r="C240" s="249" t="s">
        <v>215</v>
      </c>
      <c r="D240" s="372">
        <v>383.30941964700003</v>
      </c>
      <c r="E240" s="372">
        <v>422.19941964700001</v>
      </c>
      <c r="F240" s="403">
        <v>400.03694100799999</v>
      </c>
      <c r="G240" s="403">
        <v>21.493474536999997</v>
      </c>
      <c r="H240" s="402">
        <v>18</v>
      </c>
      <c r="I240" s="403">
        <v>21.49</v>
      </c>
      <c r="J240" s="403">
        <v>0</v>
      </c>
      <c r="K240" s="144"/>
      <c r="L240" s="205"/>
      <c r="M240" s="205"/>
      <c r="N240" s="144"/>
      <c r="O240" s="144"/>
      <c r="P240" s="242"/>
      <c r="Q240" s="164"/>
      <c r="R240" s="137"/>
      <c r="S240" s="134"/>
      <c r="T240" s="109"/>
      <c r="U240" s="109"/>
      <c r="V240" s="109"/>
      <c r="W240" s="109"/>
      <c r="X240" s="109"/>
      <c r="Y240" s="127"/>
    </row>
    <row r="241" spans="1:25" ht="15">
      <c r="A241" s="250">
        <v>114</v>
      </c>
      <c r="B241" s="254" t="s">
        <v>606</v>
      </c>
      <c r="C241" s="249" t="s">
        <v>217</v>
      </c>
      <c r="D241" s="372">
        <v>151.9</v>
      </c>
      <c r="E241" s="372">
        <v>162.66</v>
      </c>
      <c r="F241" s="403">
        <v>155.08801556300003</v>
      </c>
      <c r="G241" s="403">
        <v>0</v>
      </c>
      <c r="H241" s="402">
        <v>2.4500000000000002</v>
      </c>
      <c r="I241" s="403">
        <v>7.57</v>
      </c>
      <c r="J241" s="403">
        <v>0</v>
      </c>
      <c r="K241" s="144"/>
      <c r="L241" s="205"/>
      <c r="M241" s="205"/>
      <c r="N241" s="144"/>
      <c r="O241" s="144"/>
      <c r="P241" s="242"/>
      <c r="Q241" s="164"/>
      <c r="R241" s="137"/>
      <c r="S241" s="134"/>
      <c r="T241" s="109"/>
      <c r="U241" s="109"/>
      <c r="V241" s="109"/>
      <c r="W241" s="109"/>
      <c r="X241" s="109"/>
      <c r="Y241" s="127"/>
    </row>
    <row r="242" spans="1:25" ht="15">
      <c r="A242" s="250">
        <v>115</v>
      </c>
      <c r="B242" s="254" t="s">
        <v>17</v>
      </c>
      <c r="C242" s="249" t="s">
        <v>218</v>
      </c>
      <c r="D242" s="372">
        <v>3.1</v>
      </c>
      <c r="E242" s="372">
        <v>3.44</v>
      </c>
      <c r="F242" s="403">
        <v>3.2119183530000011</v>
      </c>
      <c r="G242" s="403">
        <v>0</v>
      </c>
      <c r="H242" s="402">
        <v>0</v>
      </c>
      <c r="I242" s="403">
        <v>0.23</v>
      </c>
      <c r="J242" s="403">
        <v>0</v>
      </c>
      <c r="K242" s="144"/>
      <c r="L242" s="205"/>
      <c r="M242" s="205"/>
      <c r="N242" s="144"/>
      <c r="O242" s="144"/>
      <c r="P242" s="242"/>
      <c r="Q242" s="164"/>
      <c r="R242" s="137"/>
      <c r="S242" s="134"/>
      <c r="T242" s="109"/>
      <c r="U242" s="109"/>
      <c r="V242" s="109"/>
      <c r="W242" s="109"/>
      <c r="X242" s="109"/>
      <c r="Y242" s="127"/>
    </row>
    <row r="243" spans="1:25" ht="15">
      <c r="A243" s="250">
        <v>116</v>
      </c>
      <c r="B243" s="254" t="s">
        <v>16</v>
      </c>
      <c r="C243" s="249" t="s">
        <v>219</v>
      </c>
      <c r="D243" s="372">
        <v>49.9</v>
      </c>
      <c r="E243" s="372">
        <v>58.28</v>
      </c>
      <c r="F243" s="403">
        <v>54.159800356000012</v>
      </c>
      <c r="G243" s="403">
        <v>4.0046661400000003</v>
      </c>
      <c r="H243" s="402">
        <v>2.94</v>
      </c>
      <c r="I243" s="403">
        <v>4.0200000000000005</v>
      </c>
      <c r="J243" s="403">
        <v>0</v>
      </c>
      <c r="K243" s="144"/>
      <c r="L243" s="205"/>
      <c r="M243" s="205"/>
      <c r="N243" s="144"/>
      <c r="O243" s="144"/>
      <c r="P243" s="242"/>
      <c r="Q243" s="164"/>
      <c r="R243" s="137"/>
      <c r="S243" s="134"/>
      <c r="T243" s="109"/>
      <c r="U243" s="109"/>
      <c r="V243" s="109"/>
      <c r="W243" s="109"/>
      <c r="X243" s="109"/>
      <c r="Y243" s="127"/>
    </row>
    <row r="244" spans="1:25" ht="15">
      <c r="A244" s="250">
        <v>117</v>
      </c>
      <c r="B244" s="254" t="s">
        <v>607</v>
      </c>
      <c r="C244" s="249" t="s">
        <v>608</v>
      </c>
      <c r="D244" s="372">
        <v>0</v>
      </c>
      <c r="E244" s="372">
        <v>0.52</v>
      </c>
      <c r="F244" s="403">
        <v>6.4900000000000001E-3</v>
      </c>
      <c r="G244" s="403">
        <v>0.5146725339999999</v>
      </c>
      <c r="H244" s="402">
        <v>0</v>
      </c>
      <c r="I244" s="403">
        <v>0.51</v>
      </c>
      <c r="J244" s="403">
        <v>0</v>
      </c>
      <c r="K244" s="144"/>
      <c r="L244" s="205"/>
      <c r="M244" s="205"/>
      <c r="N244" s="144"/>
      <c r="O244" s="144"/>
      <c r="P244" s="242"/>
      <c r="Q244" s="164"/>
      <c r="R244" s="137"/>
      <c r="S244" s="134"/>
      <c r="T244" s="109"/>
      <c r="U244" s="109"/>
      <c r="V244" s="109"/>
      <c r="W244" s="109"/>
      <c r="X244" s="109"/>
      <c r="Y244" s="127"/>
    </row>
    <row r="245" spans="1:25" ht="15">
      <c r="A245" s="250">
        <v>118</v>
      </c>
      <c r="B245" s="254" t="s">
        <v>609</v>
      </c>
      <c r="C245" s="249" t="s">
        <v>220</v>
      </c>
      <c r="D245" s="372">
        <v>13.3</v>
      </c>
      <c r="E245" s="372">
        <v>14.3703</v>
      </c>
      <c r="F245" s="403">
        <v>14.221843411</v>
      </c>
      <c r="G245" s="403">
        <v>0</v>
      </c>
      <c r="H245" s="402">
        <v>0.33</v>
      </c>
      <c r="I245" s="403">
        <v>0</v>
      </c>
      <c r="J245" s="403">
        <v>0</v>
      </c>
      <c r="K245" s="144"/>
      <c r="L245" s="205"/>
      <c r="M245" s="205"/>
      <c r="N245" s="144"/>
      <c r="O245" s="144"/>
      <c r="P245" s="242"/>
      <c r="Q245" s="164"/>
      <c r="R245" s="137"/>
      <c r="S245" s="134"/>
      <c r="T245" s="109"/>
      <c r="U245" s="109"/>
      <c r="V245" s="109"/>
      <c r="W245" s="109"/>
      <c r="X245" s="109"/>
      <c r="Y245" s="127"/>
    </row>
    <row r="246" spans="1:25" ht="15">
      <c r="A246" s="250">
        <v>119</v>
      </c>
      <c r="B246" s="254" t="s">
        <v>362</v>
      </c>
      <c r="C246" s="249" t="s">
        <v>221</v>
      </c>
      <c r="D246" s="372">
        <v>77.599999999999994</v>
      </c>
      <c r="E246" s="372">
        <v>77.60199999999999</v>
      </c>
      <c r="F246" s="403">
        <v>33.944351058000002</v>
      </c>
      <c r="G246" s="403">
        <v>0.80467005299999994</v>
      </c>
      <c r="H246" s="402">
        <v>5.42</v>
      </c>
      <c r="I246" s="403">
        <v>0.8</v>
      </c>
      <c r="J246" s="403">
        <v>20</v>
      </c>
      <c r="K246" s="144"/>
      <c r="L246" s="205"/>
      <c r="M246" s="205"/>
      <c r="N246" s="144"/>
      <c r="O246" s="144"/>
      <c r="P246" s="242"/>
      <c r="Q246" s="164"/>
      <c r="R246" s="137"/>
      <c r="S246" s="134"/>
      <c r="T246" s="109"/>
      <c r="U246" s="109"/>
      <c r="V246" s="109"/>
      <c r="W246" s="109"/>
      <c r="X246" s="109"/>
      <c r="Y246" s="127"/>
    </row>
    <row r="247" spans="1:25" ht="15">
      <c r="A247" s="250">
        <v>120</v>
      </c>
      <c r="B247" s="254" t="s">
        <v>362</v>
      </c>
      <c r="C247" s="249" t="s">
        <v>610</v>
      </c>
      <c r="D247" s="372">
        <v>0</v>
      </c>
      <c r="E247" s="372">
        <v>2</v>
      </c>
      <c r="F247" s="403">
        <v>1.5731999999999999E-2</v>
      </c>
      <c r="G247" s="403">
        <v>1.603015203</v>
      </c>
      <c r="H247" s="402">
        <v>0</v>
      </c>
      <c r="I247" s="403">
        <v>1.6</v>
      </c>
      <c r="J247" s="403">
        <v>0.17</v>
      </c>
      <c r="K247" s="144"/>
      <c r="L247" s="205"/>
      <c r="M247" s="205"/>
      <c r="N247" s="144"/>
      <c r="O247" s="144"/>
      <c r="P247" s="242"/>
      <c r="Q247" s="164"/>
      <c r="R247" s="137"/>
      <c r="S247" s="134"/>
      <c r="T247" s="109"/>
      <c r="U247" s="109"/>
      <c r="V247" s="109"/>
      <c r="W247" s="109"/>
      <c r="X247" s="109"/>
      <c r="Y247" s="127"/>
    </row>
    <row r="248" spans="1:25" ht="15">
      <c r="A248" s="250">
        <v>121</v>
      </c>
      <c r="B248" s="254" t="s">
        <v>18</v>
      </c>
      <c r="C248" s="249" t="s">
        <v>216</v>
      </c>
      <c r="D248" s="372">
        <v>23.1</v>
      </c>
      <c r="E248" s="372">
        <v>23.102899999999998</v>
      </c>
      <c r="F248" s="403">
        <v>0.40058450000000007</v>
      </c>
      <c r="G248" s="403">
        <v>0</v>
      </c>
      <c r="H248" s="402">
        <v>0</v>
      </c>
      <c r="I248" s="403">
        <v>0</v>
      </c>
      <c r="J248" s="403">
        <v>0</v>
      </c>
      <c r="K248" s="144"/>
      <c r="L248" s="205"/>
      <c r="M248" s="205"/>
      <c r="N248" s="144"/>
      <c r="O248" s="144"/>
      <c r="P248" s="242"/>
      <c r="Q248" s="164"/>
      <c r="R248" s="137"/>
      <c r="S248" s="134"/>
      <c r="T248" s="109"/>
      <c r="U248" s="109"/>
      <c r="V248" s="109"/>
      <c r="W248" s="109"/>
      <c r="X248" s="109"/>
      <c r="Y248" s="127"/>
    </row>
    <row r="249" spans="1:25" ht="15">
      <c r="A249" s="250">
        <v>122</v>
      </c>
      <c r="B249" s="254" t="s">
        <v>363</v>
      </c>
      <c r="C249" s="249" t="s">
        <v>222</v>
      </c>
      <c r="D249" s="372">
        <v>8.9</v>
      </c>
      <c r="E249" s="372">
        <v>9.56</v>
      </c>
      <c r="F249" s="403">
        <v>8.5338213260000018</v>
      </c>
      <c r="G249" s="403">
        <v>7.38843E-2</v>
      </c>
      <c r="H249" s="402">
        <v>0</v>
      </c>
      <c r="I249" s="403">
        <v>0.30000000000000004</v>
      </c>
      <c r="J249" s="403">
        <v>0</v>
      </c>
      <c r="K249" s="144"/>
      <c r="L249" s="205"/>
      <c r="M249" s="205"/>
      <c r="N249" s="144"/>
      <c r="O249" s="144"/>
      <c r="P249" s="242"/>
      <c r="Q249" s="164"/>
      <c r="R249" s="137"/>
      <c r="S249" s="134"/>
      <c r="T249" s="109"/>
      <c r="U249" s="109"/>
      <c r="V249" s="109"/>
      <c r="W249" s="109"/>
      <c r="X249" s="109"/>
      <c r="Y249" s="127"/>
    </row>
    <row r="250" spans="1:25" ht="15">
      <c r="A250" s="250">
        <v>123</v>
      </c>
      <c r="B250" s="254" t="s">
        <v>15</v>
      </c>
      <c r="C250" s="249" t="s">
        <v>223</v>
      </c>
      <c r="D250" s="372">
        <v>11.9</v>
      </c>
      <c r="E250" s="372">
        <v>13.047452699999999</v>
      </c>
      <c r="F250" s="403">
        <v>8.9912060570000012</v>
      </c>
      <c r="G250" s="403">
        <v>6.1024019999999998E-2</v>
      </c>
      <c r="H250" s="402">
        <v>3</v>
      </c>
      <c r="I250" s="403">
        <v>0.13</v>
      </c>
      <c r="J250" s="403">
        <v>0</v>
      </c>
      <c r="K250" s="144"/>
      <c r="L250" s="205"/>
      <c r="M250" s="205"/>
      <c r="N250" s="144"/>
      <c r="O250" s="144"/>
      <c r="P250" s="242"/>
      <c r="Q250" s="164"/>
      <c r="R250" s="137"/>
      <c r="S250" s="134"/>
      <c r="T250" s="109"/>
      <c r="U250" s="109"/>
      <c r="V250" s="109"/>
      <c r="W250" s="109"/>
      <c r="X250" s="109"/>
      <c r="Y250" s="127"/>
    </row>
    <row r="251" spans="1:25" ht="15">
      <c r="A251" s="250">
        <v>124</v>
      </c>
      <c r="B251" s="254" t="s">
        <v>364</v>
      </c>
      <c r="C251" s="249" t="s">
        <v>224</v>
      </c>
      <c r="D251" s="372">
        <v>19</v>
      </c>
      <c r="E251" s="372">
        <v>53.54</v>
      </c>
      <c r="F251" s="403">
        <v>53.537955602999993</v>
      </c>
      <c r="G251" s="403">
        <v>0</v>
      </c>
      <c r="H251" s="402">
        <v>0</v>
      </c>
      <c r="I251" s="403">
        <v>0</v>
      </c>
      <c r="J251" s="403">
        <v>0</v>
      </c>
      <c r="K251" s="144"/>
      <c r="L251" s="205"/>
      <c r="M251" s="205"/>
      <c r="N251" s="144"/>
      <c r="O251" s="144"/>
      <c r="P251" s="242"/>
      <c r="Q251" s="164"/>
      <c r="R251" s="137"/>
      <c r="S251" s="134"/>
      <c r="T251" s="109"/>
      <c r="U251" s="109"/>
      <c r="V251" s="109"/>
      <c r="W251" s="109"/>
      <c r="X251" s="109"/>
      <c r="Y251" s="127"/>
    </row>
    <row r="252" spans="1:25" ht="15">
      <c r="A252" s="250">
        <v>125</v>
      </c>
      <c r="B252" s="254" t="s">
        <v>365</v>
      </c>
      <c r="C252" s="254" t="s">
        <v>366</v>
      </c>
      <c r="D252" s="372">
        <v>6.1701510879999999</v>
      </c>
      <c r="E252" s="372">
        <v>5.4721000000000002</v>
      </c>
      <c r="F252" s="403">
        <v>3.0583430919999999</v>
      </c>
      <c r="G252" s="403">
        <v>6.0601196000000003E-2</v>
      </c>
      <c r="H252" s="402">
        <v>0</v>
      </c>
      <c r="I252" s="403">
        <v>0.06</v>
      </c>
      <c r="J252" s="403">
        <v>0</v>
      </c>
      <c r="K252" s="144"/>
      <c r="L252" s="205"/>
      <c r="M252" s="205"/>
      <c r="N252" s="144"/>
      <c r="O252" s="144"/>
      <c r="P252" s="242"/>
      <c r="Q252" s="164"/>
      <c r="R252" s="137"/>
      <c r="S252" s="134"/>
      <c r="T252" s="109"/>
      <c r="U252" s="109"/>
      <c r="V252" s="109"/>
      <c r="W252" s="109"/>
      <c r="X252" s="109"/>
      <c r="Y252" s="127"/>
    </row>
    <row r="253" spans="1:25" ht="15">
      <c r="A253" s="250">
        <v>126</v>
      </c>
      <c r="B253" s="254" t="s">
        <v>367</v>
      </c>
      <c r="C253" s="254" t="s">
        <v>368</v>
      </c>
      <c r="D253" s="372">
        <v>0</v>
      </c>
      <c r="E253" s="372">
        <v>2.5152999999999999</v>
      </c>
      <c r="F253" s="403">
        <v>1.8592162999999999</v>
      </c>
      <c r="G253" s="403">
        <v>0.66360594200000012</v>
      </c>
      <c r="H253" s="402">
        <v>0</v>
      </c>
      <c r="I253" s="403">
        <v>0.66</v>
      </c>
      <c r="J253" s="403">
        <v>0</v>
      </c>
      <c r="K253" s="144"/>
      <c r="L253" s="205"/>
      <c r="M253" s="205"/>
      <c r="N253" s="144"/>
      <c r="O253" s="144"/>
      <c r="P253" s="242"/>
      <c r="Q253" s="164"/>
      <c r="R253" s="137"/>
      <c r="S253" s="134"/>
      <c r="T253" s="109"/>
      <c r="U253" s="109"/>
      <c r="V253" s="109"/>
      <c r="W253" s="109"/>
      <c r="X253" s="109"/>
      <c r="Y253" s="127"/>
    </row>
    <row r="254" spans="1:25" ht="15">
      <c r="A254" s="250">
        <v>127</v>
      </c>
      <c r="B254" s="254" t="s">
        <v>369</v>
      </c>
      <c r="C254" s="254" t="s">
        <v>370</v>
      </c>
      <c r="D254" s="372">
        <v>6.9843756619999997</v>
      </c>
      <c r="E254" s="372">
        <v>6.0900756620000003</v>
      </c>
      <c r="F254" s="403">
        <v>1.778057064</v>
      </c>
      <c r="G254" s="403">
        <v>0</v>
      </c>
      <c r="H254" s="402">
        <v>0</v>
      </c>
      <c r="I254" s="403">
        <v>0</v>
      </c>
      <c r="J254" s="403">
        <v>0</v>
      </c>
      <c r="K254" s="144"/>
      <c r="L254" s="205"/>
      <c r="M254" s="205"/>
      <c r="N254" s="144"/>
      <c r="O254" s="144"/>
      <c r="P254" s="242"/>
      <c r="Q254" s="164"/>
      <c r="R254" s="137"/>
      <c r="S254" s="134"/>
      <c r="T254" s="109"/>
      <c r="U254" s="109"/>
      <c r="V254" s="109"/>
      <c r="W254" s="109"/>
      <c r="X254" s="109"/>
      <c r="Y254" s="127"/>
    </row>
    <row r="255" spans="1:25" ht="15">
      <c r="A255" s="250">
        <v>128</v>
      </c>
      <c r="B255" s="254" t="s">
        <v>371</v>
      </c>
      <c r="C255" s="254" t="s">
        <v>372</v>
      </c>
      <c r="D255" s="372">
        <v>11.189872195</v>
      </c>
      <c r="E255" s="372">
        <v>11.187772195000001</v>
      </c>
      <c r="F255" s="403">
        <v>4.4973639640000007</v>
      </c>
      <c r="G255" s="403">
        <v>0.11673484400000002</v>
      </c>
      <c r="H255" s="402">
        <v>0</v>
      </c>
      <c r="I255" s="403">
        <v>0.12</v>
      </c>
      <c r="J255" s="403">
        <v>0</v>
      </c>
      <c r="K255" s="144"/>
      <c r="L255" s="205"/>
      <c r="M255" s="205"/>
      <c r="N255" s="144"/>
      <c r="O255" s="144"/>
      <c r="P255" s="242"/>
      <c r="Q255" s="164"/>
      <c r="R255" s="137"/>
      <c r="S255" s="134"/>
      <c r="T255" s="109"/>
      <c r="U255" s="109"/>
      <c r="V255" s="109"/>
      <c r="W255" s="109"/>
      <c r="X255" s="109"/>
      <c r="Y255" s="127"/>
    </row>
    <row r="256" spans="1:25" ht="15">
      <c r="A256" s="250">
        <v>129</v>
      </c>
      <c r="B256" s="254" t="s">
        <v>373</v>
      </c>
      <c r="C256" s="254" t="s">
        <v>374</v>
      </c>
      <c r="D256" s="372">
        <v>0</v>
      </c>
      <c r="E256" s="372">
        <v>3.0251999999999999</v>
      </c>
      <c r="F256" s="403">
        <v>2.2267159000000003</v>
      </c>
      <c r="G256" s="403">
        <v>2.8155593999999996E-2</v>
      </c>
      <c r="H256" s="402">
        <v>0</v>
      </c>
      <c r="I256" s="403">
        <v>0.03</v>
      </c>
      <c r="J256" s="403">
        <v>0</v>
      </c>
      <c r="K256" s="144"/>
      <c r="L256" s="205"/>
      <c r="M256" s="205"/>
      <c r="N256" s="144"/>
      <c r="O256" s="144"/>
      <c r="P256" s="242"/>
      <c r="Q256" s="164"/>
      <c r="R256" s="137"/>
      <c r="S256" s="134"/>
      <c r="T256" s="109"/>
      <c r="U256" s="109"/>
      <c r="V256" s="109"/>
      <c r="W256" s="109"/>
      <c r="X256" s="109"/>
      <c r="Y256" s="127"/>
    </row>
    <row r="257" spans="1:25" ht="15">
      <c r="A257" s="250">
        <v>130</v>
      </c>
      <c r="B257" s="254" t="s">
        <v>375</v>
      </c>
      <c r="C257" s="254" t="s">
        <v>376</v>
      </c>
      <c r="D257" s="372">
        <v>1.45</v>
      </c>
      <c r="E257" s="372">
        <v>1.4454</v>
      </c>
      <c r="F257" s="403">
        <v>0</v>
      </c>
      <c r="G257" s="403">
        <v>0</v>
      </c>
      <c r="H257" s="402">
        <v>0</v>
      </c>
      <c r="I257" s="403">
        <v>0</v>
      </c>
      <c r="J257" s="403">
        <v>0</v>
      </c>
      <c r="K257" s="144"/>
      <c r="L257" s="205"/>
      <c r="M257" s="205"/>
      <c r="N257" s="144"/>
      <c r="O257" s="144"/>
      <c r="P257" s="242"/>
      <c r="Q257" s="164"/>
      <c r="R257" s="137"/>
      <c r="S257" s="134"/>
      <c r="T257" s="109"/>
      <c r="U257" s="109"/>
      <c r="V257" s="109"/>
      <c r="W257" s="109"/>
      <c r="X257" s="109"/>
      <c r="Y257" s="127"/>
    </row>
    <row r="258" spans="1:25" ht="15">
      <c r="A258" s="250">
        <v>131</v>
      </c>
      <c r="B258" s="254" t="s">
        <v>377</v>
      </c>
      <c r="C258" s="254" t="s">
        <v>378</v>
      </c>
      <c r="D258" s="372">
        <v>86.51</v>
      </c>
      <c r="E258" s="372">
        <v>101.0117</v>
      </c>
      <c r="F258" s="403">
        <v>80.097435125000004</v>
      </c>
      <c r="G258" s="403">
        <v>8.0796009500000014</v>
      </c>
      <c r="H258" s="402">
        <v>8.33</v>
      </c>
      <c r="I258" s="403">
        <v>15.51</v>
      </c>
      <c r="J258" s="403">
        <v>2.13</v>
      </c>
      <c r="K258" s="144"/>
      <c r="L258" s="205"/>
      <c r="M258" s="205"/>
      <c r="N258" s="144"/>
      <c r="O258" s="144"/>
      <c r="P258" s="242"/>
      <c r="Q258" s="164"/>
      <c r="R258" s="137"/>
      <c r="S258" s="134"/>
      <c r="T258" s="109"/>
      <c r="U258" s="109"/>
      <c r="V258" s="109"/>
      <c r="W258" s="109"/>
      <c r="X258" s="109"/>
      <c r="Y258" s="127"/>
    </row>
    <row r="259" spans="1:25" ht="15">
      <c r="A259" s="250">
        <v>132</v>
      </c>
      <c r="B259" s="254" t="s">
        <v>379</v>
      </c>
      <c r="C259" s="254" t="s">
        <v>380</v>
      </c>
      <c r="D259" s="372">
        <v>0</v>
      </c>
      <c r="E259" s="372">
        <v>2.4765999999999999</v>
      </c>
      <c r="F259" s="403">
        <v>0</v>
      </c>
      <c r="G259" s="403">
        <v>0</v>
      </c>
      <c r="H259" s="402">
        <v>0</v>
      </c>
      <c r="I259" s="403">
        <v>0</v>
      </c>
      <c r="J259" s="403">
        <v>0</v>
      </c>
      <c r="K259" s="144"/>
      <c r="L259" s="205"/>
      <c r="M259" s="205"/>
      <c r="N259" s="144"/>
      <c r="O259" s="144"/>
      <c r="P259" s="242"/>
      <c r="Q259" s="164"/>
      <c r="R259" s="137"/>
      <c r="S259" s="134"/>
      <c r="T259" s="109"/>
      <c r="U259" s="109"/>
      <c r="V259" s="109"/>
      <c r="W259" s="109"/>
      <c r="X259" s="109"/>
      <c r="Y259" s="127"/>
    </row>
    <row r="260" spans="1:25" ht="15">
      <c r="A260" s="250">
        <v>133</v>
      </c>
      <c r="B260" s="254" t="s">
        <v>381</v>
      </c>
      <c r="C260" s="254" t="s">
        <v>382</v>
      </c>
      <c r="D260" s="372">
        <v>0.13</v>
      </c>
      <c r="E260" s="372">
        <v>0.1341</v>
      </c>
      <c r="F260" s="403">
        <v>1.2948E-3</v>
      </c>
      <c r="G260" s="403">
        <v>6.9286199999999999E-3</v>
      </c>
      <c r="H260" s="402">
        <v>0</v>
      </c>
      <c r="I260" s="403">
        <v>0.01</v>
      </c>
      <c r="J260" s="403">
        <v>0</v>
      </c>
      <c r="K260" s="144"/>
      <c r="L260" s="205"/>
      <c r="M260" s="205"/>
      <c r="N260" s="144"/>
      <c r="O260" s="144"/>
      <c r="P260" s="242"/>
      <c r="Q260" s="164"/>
      <c r="R260" s="137"/>
      <c r="S260" s="134"/>
      <c r="T260" s="109"/>
      <c r="U260" s="109"/>
      <c r="V260" s="109"/>
      <c r="W260" s="109"/>
      <c r="X260" s="109"/>
      <c r="Y260" s="127"/>
    </row>
    <row r="261" spans="1:25" ht="15">
      <c r="A261" s="250">
        <v>134</v>
      </c>
      <c r="B261" s="254" t="s">
        <v>383</v>
      </c>
      <c r="C261" s="254" t="s">
        <v>384</v>
      </c>
      <c r="D261" s="372">
        <v>0.31791367000000004</v>
      </c>
      <c r="E261" s="372">
        <v>0.31961367000000002</v>
      </c>
      <c r="F261" s="403">
        <v>0.20502160000000003</v>
      </c>
      <c r="G261" s="403">
        <v>0</v>
      </c>
      <c r="H261" s="402">
        <v>0</v>
      </c>
      <c r="I261" s="403">
        <v>0</v>
      </c>
      <c r="J261" s="403">
        <v>0</v>
      </c>
      <c r="K261" s="144"/>
      <c r="L261" s="205"/>
      <c r="M261" s="205"/>
      <c r="N261" s="144"/>
      <c r="O261" s="144"/>
      <c r="P261" s="242"/>
      <c r="Q261" s="164"/>
      <c r="R261" s="137"/>
      <c r="S261" s="134"/>
      <c r="T261" s="109"/>
      <c r="U261" s="109"/>
      <c r="V261" s="109"/>
      <c r="W261" s="109"/>
      <c r="X261" s="109"/>
      <c r="Y261" s="127"/>
    </row>
    <row r="262" spans="1:25" ht="15">
      <c r="A262" s="250">
        <v>135</v>
      </c>
      <c r="B262" s="254" t="s">
        <v>385</v>
      </c>
      <c r="C262" s="249" t="s">
        <v>227</v>
      </c>
      <c r="D262" s="372">
        <v>74.171946097000003</v>
      </c>
      <c r="E262" s="372">
        <v>75.961946096999995</v>
      </c>
      <c r="F262" s="403">
        <v>51.403577196000015</v>
      </c>
      <c r="G262" s="403">
        <v>0</v>
      </c>
      <c r="H262" s="402">
        <v>2</v>
      </c>
      <c r="I262" s="403">
        <v>0</v>
      </c>
      <c r="J262" s="403">
        <v>0</v>
      </c>
      <c r="K262" s="144"/>
      <c r="L262" s="205"/>
      <c r="M262" s="205"/>
      <c r="N262" s="144"/>
      <c r="O262" s="144"/>
      <c r="P262" s="242"/>
      <c r="Q262" s="164"/>
      <c r="R262" s="137"/>
      <c r="S262" s="134"/>
      <c r="T262" s="109"/>
      <c r="U262" s="109"/>
      <c r="V262" s="109"/>
      <c r="W262" s="109"/>
      <c r="X262" s="109"/>
      <c r="Y262" s="127"/>
    </row>
    <row r="263" spans="1:25" ht="15">
      <c r="A263" s="250">
        <v>136</v>
      </c>
      <c r="B263" s="254" t="s">
        <v>386</v>
      </c>
      <c r="C263" s="249" t="s">
        <v>225</v>
      </c>
      <c r="D263" s="372">
        <v>60.715440086999998</v>
      </c>
      <c r="E263" s="372">
        <v>66.097440086999995</v>
      </c>
      <c r="F263" s="403">
        <v>62.362560790680007</v>
      </c>
      <c r="G263" s="403">
        <v>0</v>
      </c>
      <c r="H263" s="402">
        <v>0</v>
      </c>
      <c r="I263" s="403">
        <v>0</v>
      </c>
      <c r="J263" s="403">
        <v>0</v>
      </c>
      <c r="K263" s="144"/>
      <c r="L263" s="205"/>
      <c r="M263" s="205"/>
      <c r="N263" s="144"/>
      <c r="O263" s="144"/>
      <c r="P263" s="242"/>
      <c r="Q263" s="164"/>
      <c r="R263" s="137"/>
      <c r="S263" s="134"/>
      <c r="T263" s="109"/>
      <c r="U263" s="109"/>
      <c r="V263" s="109"/>
      <c r="W263" s="109"/>
      <c r="X263" s="109"/>
      <c r="Y263" s="127"/>
    </row>
    <row r="264" spans="1:25" ht="15">
      <c r="A264" s="250">
        <v>137</v>
      </c>
      <c r="B264" s="254" t="s">
        <v>14</v>
      </c>
      <c r="C264" s="249" t="s">
        <v>228</v>
      </c>
      <c r="D264" s="372">
        <v>8.5908587010000002</v>
      </c>
      <c r="E264" s="372">
        <v>8.5908587010000002</v>
      </c>
      <c r="F264" s="403">
        <v>6.9180832010000008</v>
      </c>
      <c r="G264" s="403">
        <v>0</v>
      </c>
      <c r="H264" s="402">
        <v>0</v>
      </c>
      <c r="I264" s="403">
        <v>0</v>
      </c>
      <c r="J264" s="403">
        <v>0</v>
      </c>
      <c r="K264" s="144"/>
      <c r="L264" s="205"/>
      <c r="M264" s="205"/>
      <c r="N264" s="144"/>
      <c r="O264" s="144"/>
      <c r="P264" s="242"/>
      <c r="Q264" s="164"/>
      <c r="R264" s="137"/>
      <c r="S264" s="134"/>
      <c r="T264" s="109"/>
      <c r="U264" s="109"/>
      <c r="V264" s="109"/>
      <c r="W264" s="109"/>
      <c r="X264" s="109"/>
      <c r="Y264" s="127"/>
    </row>
    <row r="265" spans="1:25" ht="15">
      <c r="A265" s="250">
        <v>138</v>
      </c>
      <c r="B265" s="254" t="s">
        <v>387</v>
      </c>
      <c r="C265" s="254" t="s">
        <v>229</v>
      </c>
      <c r="D265" s="372">
        <v>21.82</v>
      </c>
      <c r="E265" s="372">
        <v>21.82</v>
      </c>
      <c r="F265" s="403">
        <v>11.690107000000001</v>
      </c>
      <c r="G265" s="403">
        <v>0</v>
      </c>
      <c r="H265" s="402">
        <v>4.05</v>
      </c>
      <c r="I265" s="403">
        <v>0</v>
      </c>
      <c r="J265" s="403">
        <v>0</v>
      </c>
      <c r="K265" s="144"/>
      <c r="L265" s="205"/>
      <c r="M265" s="205"/>
      <c r="N265" s="144"/>
      <c r="O265" s="144"/>
      <c r="P265" s="242"/>
      <c r="Q265" s="164"/>
      <c r="R265" s="137"/>
      <c r="S265" s="134"/>
      <c r="T265" s="109"/>
      <c r="U265" s="109"/>
      <c r="V265" s="109"/>
      <c r="W265" s="109"/>
      <c r="X265" s="109"/>
      <c r="Y265" s="127"/>
    </row>
    <row r="266" spans="1:25" ht="15">
      <c r="A266" s="250">
        <v>139</v>
      </c>
      <c r="B266" s="254" t="s">
        <v>13</v>
      </c>
      <c r="C266" s="249" t="s">
        <v>230</v>
      </c>
      <c r="D266" s="372">
        <v>0.24</v>
      </c>
      <c r="E266" s="372">
        <v>5.44</v>
      </c>
      <c r="F266" s="403">
        <v>5.4299882419999994</v>
      </c>
      <c r="G266" s="403">
        <v>0</v>
      </c>
      <c r="H266" s="402">
        <v>0</v>
      </c>
      <c r="I266" s="403">
        <v>0</v>
      </c>
      <c r="J266" s="403">
        <v>0</v>
      </c>
      <c r="K266" s="144"/>
      <c r="L266" s="205"/>
      <c r="M266" s="205"/>
      <c r="N266" s="144"/>
      <c r="O266" s="144"/>
      <c r="P266" s="242"/>
      <c r="Q266" s="164"/>
      <c r="R266" s="137"/>
      <c r="S266" s="134"/>
      <c r="T266" s="109"/>
      <c r="U266" s="109"/>
      <c r="V266" s="109"/>
      <c r="W266" s="109"/>
      <c r="X266" s="109"/>
      <c r="Y266" s="127"/>
    </row>
    <row r="267" spans="1:25" ht="15">
      <c r="A267" s="250">
        <v>140</v>
      </c>
      <c r="B267" s="254" t="s">
        <v>12</v>
      </c>
      <c r="C267" s="249" t="s">
        <v>231</v>
      </c>
      <c r="D267" s="372">
        <v>0.6</v>
      </c>
      <c r="E267" s="372">
        <v>0.92999999999999994</v>
      </c>
      <c r="F267" s="403">
        <v>0.93434897800000016</v>
      </c>
      <c r="G267" s="403">
        <v>0</v>
      </c>
      <c r="H267" s="402">
        <v>0</v>
      </c>
      <c r="I267" s="403">
        <v>0</v>
      </c>
      <c r="J267" s="403">
        <v>0</v>
      </c>
      <c r="K267" s="144"/>
      <c r="L267" s="205"/>
      <c r="M267" s="205"/>
      <c r="N267" s="144"/>
      <c r="O267" s="144"/>
      <c r="P267" s="242"/>
      <c r="Q267" s="164"/>
      <c r="R267" s="137"/>
      <c r="S267" s="134"/>
      <c r="T267" s="109"/>
      <c r="U267" s="109"/>
      <c r="V267" s="109"/>
      <c r="W267" s="109"/>
      <c r="X267" s="109"/>
      <c r="Y267" s="127"/>
    </row>
    <row r="268" spans="1:25" ht="15">
      <c r="A268" s="250">
        <v>141</v>
      </c>
      <c r="B268" s="254" t="s">
        <v>11</v>
      </c>
      <c r="C268" s="249" t="s">
        <v>232</v>
      </c>
      <c r="D268" s="372">
        <v>19.975669765999999</v>
      </c>
      <c r="E268" s="372">
        <v>20.225669765999999</v>
      </c>
      <c r="F268" s="403">
        <v>11.212486342</v>
      </c>
      <c r="G268" s="403">
        <v>0</v>
      </c>
      <c r="H268" s="402">
        <v>0</v>
      </c>
      <c r="I268" s="403">
        <v>1.06</v>
      </c>
      <c r="J268" s="403">
        <v>0.91</v>
      </c>
      <c r="K268" s="144"/>
      <c r="L268" s="205"/>
      <c r="M268" s="205"/>
      <c r="N268" s="144"/>
      <c r="O268" s="144"/>
      <c r="P268" s="242"/>
      <c r="Q268" s="164"/>
      <c r="R268" s="137"/>
      <c r="S268" s="134"/>
      <c r="T268" s="109"/>
      <c r="U268" s="109"/>
      <c r="V268" s="109"/>
      <c r="W268" s="109"/>
      <c r="X268" s="109"/>
      <c r="Y268" s="127"/>
    </row>
    <row r="269" spans="1:25" ht="15">
      <c r="A269" s="250">
        <v>142</v>
      </c>
      <c r="B269" s="254" t="s">
        <v>83</v>
      </c>
      <c r="C269" s="254" t="s">
        <v>233</v>
      </c>
      <c r="D269" s="372">
        <v>1.3469462920000002</v>
      </c>
      <c r="E269" s="372">
        <v>1.3469462920000002</v>
      </c>
      <c r="F269" s="403">
        <v>0.67806900099999989</v>
      </c>
      <c r="G269" s="403">
        <v>0</v>
      </c>
      <c r="H269" s="402">
        <v>0</v>
      </c>
      <c r="I269" s="403">
        <v>0</v>
      </c>
      <c r="J269" s="403">
        <v>0</v>
      </c>
      <c r="K269" s="144"/>
      <c r="L269" s="205"/>
      <c r="M269" s="205"/>
      <c r="N269" s="144"/>
      <c r="O269" s="144"/>
      <c r="P269" s="242"/>
      <c r="Q269" s="164"/>
      <c r="R269" s="137"/>
      <c r="S269" s="134"/>
      <c r="T269" s="109"/>
      <c r="U269" s="109"/>
      <c r="V269" s="109"/>
      <c r="W269" s="109"/>
      <c r="X269" s="109"/>
      <c r="Y269" s="127"/>
    </row>
    <row r="270" spans="1:25" ht="15">
      <c r="A270" s="250">
        <v>143</v>
      </c>
      <c r="B270" s="254" t="s">
        <v>388</v>
      </c>
      <c r="C270" s="249" t="s">
        <v>235</v>
      </c>
      <c r="D270" s="372">
        <v>27.53</v>
      </c>
      <c r="E270" s="372">
        <v>30.265785999999999</v>
      </c>
      <c r="F270" s="403">
        <v>30.265443860000001</v>
      </c>
      <c r="G270" s="403">
        <v>0</v>
      </c>
      <c r="H270" s="402">
        <v>0</v>
      </c>
      <c r="I270" s="403">
        <v>0</v>
      </c>
      <c r="J270" s="403">
        <v>0</v>
      </c>
      <c r="K270" s="144"/>
      <c r="L270" s="205"/>
      <c r="M270" s="205"/>
      <c r="N270" s="144"/>
      <c r="O270" s="144"/>
      <c r="P270" s="242"/>
      <c r="Q270" s="164"/>
      <c r="R270" s="137"/>
      <c r="S270" s="134"/>
      <c r="T270" s="109"/>
      <c r="U270" s="109"/>
      <c r="V270" s="109"/>
      <c r="W270" s="109"/>
      <c r="X270" s="109"/>
      <c r="Y270" s="127"/>
    </row>
    <row r="271" spans="1:25" ht="15">
      <c r="A271" s="250">
        <v>144</v>
      </c>
      <c r="B271" s="254" t="s">
        <v>389</v>
      </c>
      <c r="C271" s="249" t="s">
        <v>390</v>
      </c>
      <c r="D271" s="372">
        <v>75.87</v>
      </c>
      <c r="E271" s="372">
        <v>83.33</v>
      </c>
      <c r="F271" s="403">
        <v>79.038971199999992</v>
      </c>
      <c r="G271" s="403">
        <v>0</v>
      </c>
      <c r="H271" s="402">
        <v>0</v>
      </c>
      <c r="I271" s="403">
        <v>0</v>
      </c>
      <c r="J271" s="403">
        <v>0</v>
      </c>
      <c r="K271" s="144"/>
      <c r="L271" s="205"/>
      <c r="M271" s="205"/>
      <c r="N271" s="144"/>
      <c r="O271" s="144"/>
      <c r="P271" s="242"/>
      <c r="Q271" s="164"/>
      <c r="R271" s="137"/>
      <c r="S271" s="134"/>
      <c r="T271" s="109"/>
      <c r="U271" s="109"/>
      <c r="V271" s="109"/>
      <c r="W271" s="109"/>
      <c r="X271" s="109"/>
      <c r="Y271" s="127"/>
    </row>
    <row r="272" spans="1:25" ht="15">
      <c r="A272" s="250">
        <v>145</v>
      </c>
      <c r="B272" s="254" t="s">
        <v>391</v>
      </c>
      <c r="C272" s="249" t="s">
        <v>236</v>
      </c>
      <c r="D272" s="372">
        <v>5.6</v>
      </c>
      <c r="E272" s="372">
        <v>5.6</v>
      </c>
      <c r="F272" s="403">
        <v>5.4009979469999996</v>
      </c>
      <c r="G272" s="403">
        <v>0</v>
      </c>
      <c r="H272" s="402">
        <v>0</v>
      </c>
      <c r="I272" s="403">
        <v>0</v>
      </c>
      <c r="J272" s="403">
        <v>0</v>
      </c>
      <c r="K272" s="144"/>
      <c r="L272" s="205"/>
      <c r="M272" s="205"/>
      <c r="N272" s="144"/>
      <c r="O272" s="144"/>
      <c r="P272" s="242"/>
      <c r="Q272" s="164"/>
      <c r="R272" s="137"/>
      <c r="S272" s="134"/>
      <c r="T272" s="109"/>
      <c r="U272" s="109"/>
      <c r="V272" s="109"/>
      <c r="W272" s="109"/>
      <c r="X272" s="109"/>
      <c r="Y272" s="127"/>
    </row>
    <row r="273" spans="1:25" ht="15">
      <c r="A273" s="250">
        <v>146</v>
      </c>
      <c r="B273" s="254" t="s">
        <v>9</v>
      </c>
      <c r="C273" s="249" t="s">
        <v>237</v>
      </c>
      <c r="D273" s="372">
        <v>1.6</v>
      </c>
      <c r="E273" s="372">
        <v>1.6</v>
      </c>
      <c r="F273" s="403">
        <v>1.5140269999999998</v>
      </c>
      <c r="G273" s="403">
        <v>0</v>
      </c>
      <c r="H273" s="402">
        <v>0</v>
      </c>
      <c r="I273" s="403">
        <v>0</v>
      </c>
      <c r="J273" s="403">
        <v>0</v>
      </c>
      <c r="K273" s="144"/>
      <c r="L273" s="205"/>
      <c r="M273" s="205"/>
      <c r="N273" s="144"/>
      <c r="O273" s="144"/>
      <c r="P273" s="242"/>
      <c r="Q273" s="164"/>
      <c r="R273" s="137"/>
      <c r="S273" s="134"/>
      <c r="T273" s="109"/>
      <c r="U273" s="109"/>
      <c r="V273" s="109"/>
      <c r="W273" s="109"/>
      <c r="X273" s="109"/>
      <c r="Y273" s="127"/>
    </row>
    <row r="274" spans="1:25" ht="15">
      <c r="A274" s="250">
        <v>147</v>
      </c>
      <c r="B274" s="254" t="s">
        <v>392</v>
      </c>
      <c r="C274" s="249" t="s">
        <v>238</v>
      </c>
      <c r="D274" s="372">
        <v>1.7</v>
      </c>
      <c r="E274" s="372">
        <v>1.8624000000000001</v>
      </c>
      <c r="F274" s="403">
        <v>1.6671074000000001</v>
      </c>
      <c r="G274" s="403">
        <v>4.4891250000000008E-2</v>
      </c>
      <c r="H274" s="402">
        <v>0</v>
      </c>
      <c r="I274" s="403">
        <v>0.21000000000000002</v>
      </c>
      <c r="J274" s="403">
        <v>0</v>
      </c>
      <c r="K274" s="144"/>
      <c r="L274" s="205"/>
      <c r="M274" s="205"/>
      <c r="N274" s="144"/>
      <c r="O274" s="144"/>
      <c r="P274" s="242"/>
      <c r="Q274" s="164"/>
      <c r="R274" s="137"/>
      <c r="S274" s="134"/>
      <c r="T274" s="109"/>
      <c r="U274" s="109"/>
      <c r="V274" s="109"/>
      <c r="W274" s="109"/>
      <c r="X274" s="109"/>
      <c r="Y274" s="127"/>
    </row>
    <row r="275" spans="1:25" ht="15">
      <c r="A275" s="250">
        <v>148</v>
      </c>
      <c r="B275" s="254" t="s">
        <v>393</v>
      </c>
      <c r="C275" s="254" t="s">
        <v>394</v>
      </c>
      <c r="D275" s="372">
        <v>5.3</v>
      </c>
      <c r="E275" s="372">
        <v>5.3</v>
      </c>
      <c r="F275" s="403">
        <v>4.1537724620000009</v>
      </c>
      <c r="G275" s="403">
        <v>0.37846863999999997</v>
      </c>
      <c r="H275" s="402">
        <v>1</v>
      </c>
      <c r="I275" s="403">
        <v>0.60000000000000009</v>
      </c>
      <c r="J275" s="403">
        <v>0.13</v>
      </c>
      <c r="K275" s="144"/>
      <c r="L275" s="205"/>
      <c r="M275" s="205"/>
      <c r="N275" s="144"/>
      <c r="O275" s="144"/>
      <c r="P275" s="242"/>
      <c r="Q275" s="164"/>
      <c r="R275" s="137"/>
      <c r="S275" s="134"/>
      <c r="T275" s="109"/>
      <c r="U275" s="109"/>
      <c r="V275" s="109"/>
      <c r="W275" s="109"/>
      <c r="X275" s="109"/>
      <c r="Y275" s="127"/>
    </row>
    <row r="276" spans="1:25" ht="15">
      <c r="A276" s="250">
        <v>149</v>
      </c>
      <c r="B276" s="254" t="s">
        <v>10</v>
      </c>
      <c r="C276" s="249" t="s">
        <v>234</v>
      </c>
      <c r="D276" s="372">
        <v>1.8</v>
      </c>
      <c r="E276" s="372">
        <v>13.64</v>
      </c>
      <c r="F276" s="403">
        <v>13.644725999999999</v>
      </c>
      <c r="G276" s="403">
        <v>0</v>
      </c>
      <c r="H276" s="402">
        <v>0</v>
      </c>
      <c r="I276" s="403">
        <v>0</v>
      </c>
      <c r="J276" s="403">
        <v>0</v>
      </c>
      <c r="K276" s="144"/>
      <c r="L276" s="205"/>
      <c r="M276" s="205"/>
      <c r="N276" s="144"/>
      <c r="O276" s="144"/>
      <c r="P276" s="242"/>
      <c r="Q276" s="164"/>
      <c r="R276" s="137"/>
      <c r="S276" s="134"/>
      <c r="T276" s="109"/>
      <c r="U276" s="109"/>
      <c r="V276" s="109"/>
      <c r="W276" s="109"/>
      <c r="X276" s="109"/>
      <c r="Y276" s="127"/>
    </row>
    <row r="277" spans="1:25" ht="15">
      <c r="A277" s="250">
        <v>150</v>
      </c>
      <c r="B277" s="254" t="s">
        <v>395</v>
      </c>
      <c r="C277" s="249" t="s">
        <v>243</v>
      </c>
      <c r="D277" s="372">
        <v>298.47522826699998</v>
      </c>
      <c r="E277" s="372">
        <v>315.99938416644198</v>
      </c>
      <c r="F277" s="403">
        <v>232.52043060875195</v>
      </c>
      <c r="G277" s="403">
        <v>7.3029250000000004E-2</v>
      </c>
      <c r="H277" s="402">
        <v>7.65</v>
      </c>
      <c r="I277" s="403">
        <v>7.0000000000000007E-2</v>
      </c>
      <c r="J277" s="403">
        <v>0</v>
      </c>
      <c r="K277" s="144"/>
      <c r="L277" s="205"/>
      <c r="M277" s="205"/>
      <c r="N277" s="144"/>
      <c r="O277" s="144"/>
      <c r="P277" s="242"/>
      <c r="Q277" s="164"/>
      <c r="R277" s="137"/>
      <c r="S277" s="134"/>
      <c r="T277" s="109"/>
      <c r="U277" s="109"/>
      <c r="V277" s="109"/>
      <c r="W277" s="109"/>
      <c r="X277" s="109"/>
      <c r="Y277" s="127"/>
    </row>
    <row r="278" spans="1:25" ht="15">
      <c r="A278" s="250">
        <v>151</v>
      </c>
      <c r="B278" s="254" t="s">
        <v>6</v>
      </c>
      <c r="C278" s="249" t="s">
        <v>244</v>
      </c>
      <c r="D278" s="372">
        <v>440</v>
      </c>
      <c r="E278" s="372">
        <v>484.64038999999997</v>
      </c>
      <c r="F278" s="403">
        <v>491.80351977100014</v>
      </c>
      <c r="G278" s="403">
        <v>9.6870742070000002</v>
      </c>
      <c r="H278" s="402">
        <v>12</v>
      </c>
      <c r="I278" s="403">
        <v>9.69</v>
      </c>
      <c r="J278" s="403">
        <v>0</v>
      </c>
      <c r="K278" s="144"/>
      <c r="L278" s="205"/>
      <c r="M278" s="205"/>
      <c r="N278" s="144"/>
      <c r="O278" s="144"/>
      <c r="P278" s="242"/>
      <c r="Q278" s="164"/>
      <c r="R278" s="137"/>
      <c r="S278" s="134"/>
      <c r="T278" s="109"/>
      <c r="U278" s="109"/>
      <c r="V278" s="109"/>
      <c r="W278" s="109"/>
      <c r="X278" s="109"/>
      <c r="Y278" s="127"/>
    </row>
    <row r="279" spans="1:25" ht="15">
      <c r="A279" s="250">
        <v>152</v>
      </c>
      <c r="B279" s="254" t="s">
        <v>127</v>
      </c>
      <c r="C279" s="249" t="s">
        <v>611</v>
      </c>
      <c r="D279" s="372">
        <v>4.47</v>
      </c>
      <c r="E279" s="372">
        <v>4.47</v>
      </c>
      <c r="F279" s="403">
        <v>0</v>
      </c>
      <c r="G279" s="403">
        <v>0</v>
      </c>
      <c r="H279" s="402">
        <v>0</v>
      </c>
      <c r="I279" s="403">
        <v>0</v>
      </c>
      <c r="J279" s="403">
        <v>0</v>
      </c>
      <c r="K279" s="144"/>
      <c r="L279" s="205"/>
      <c r="M279" s="205"/>
      <c r="N279" s="144"/>
      <c r="O279" s="144"/>
      <c r="P279" s="242"/>
      <c r="Q279" s="164"/>
      <c r="R279" s="137"/>
      <c r="S279" s="134"/>
      <c r="T279" s="109"/>
      <c r="U279" s="109"/>
      <c r="V279" s="109"/>
      <c r="W279" s="109"/>
      <c r="X279" s="109"/>
      <c r="Y279" s="127"/>
    </row>
    <row r="280" spans="1:25" ht="15">
      <c r="A280" s="250">
        <v>153</v>
      </c>
      <c r="B280" s="254" t="s">
        <v>612</v>
      </c>
      <c r="C280" s="249"/>
      <c r="D280" s="372">
        <v>100</v>
      </c>
      <c r="E280" s="372">
        <v>100</v>
      </c>
      <c r="F280" s="403">
        <v>0</v>
      </c>
      <c r="G280" s="403">
        <v>2.0699999999999998</v>
      </c>
      <c r="H280" s="402">
        <v>40</v>
      </c>
      <c r="I280" s="403">
        <v>7</v>
      </c>
      <c r="J280" s="403">
        <v>40</v>
      </c>
      <c r="K280" s="144"/>
      <c r="L280" s="205"/>
      <c r="M280" s="205"/>
      <c r="N280" s="144"/>
      <c r="O280" s="144"/>
      <c r="P280" s="242"/>
      <c r="Q280" s="164"/>
      <c r="R280" s="137"/>
      <c r="S280" s="134"/>
      <c r="T280" s="109"/>
      <c r="U280" s="109"/>
      <c r="V280" s="109"/>
      <c r="W280" s="109"/>
      <c r="X280" s="109"/>
      <c r="Y280" s="127"/>
    </row>
    <row r="281" spans="1:25" ht="15">
      <c r="A281" s="250">
        <v>154</v>
      </c>
      <c r="B281" s="254" t="s">
        <v>613</v>
      </c>
      <c r="C281" s="249"/>
      <c r="D281" s="372">
        <v>41.31</v>
      </c>
      <c r="E281" s="372">
        <v>41.31</v>
      </c>
      <c r="F281" s="403">
        <v>0</v>
      </c>
      <c r="G281" s="403">
        <v>0</v>
      </c>
      <c r="H281" s="402">
        <v>0</v>
      </c>
      <c r="I281" s="403">
        <v>0</v>
      </c>
      <c r="J281" s="403">
        <v>0</v>
      </c>
      <c r="K281" s="144"/>
      <c r="L281" s="205"/>
      <c r="M281" s="205"/>
      <c r="N281" s="144"/>
      <c r="O281" s="144"/>
      <c r="P281" s="242"/>
      <c r="Q281" s="164"/>
      <c r="R281" s="137"/>
      <c r="S281" s="134"/>
      <c r="T281" s="109"/>
      <c r="U281" s="109"/>
      <c r="V281" s="109"/>
      <c r="W281" s="109"/>
      <c r="X281" s="109"/>
      <c r="Y281" s="127"/>
    </row>
    <row r="282" spans="1:25" ht="15">
      <c r="A282" s="250">
        <v>155</v>
      </c>
      <c r="B282" s="254" t="s">
        <v>396</v>
      </c>
      <c r="C282" s="249"/>
      <c r="D282" s="372">
        <v>10.5</v>
      </c>
      <c r="E282" s="372">
        <v>10.5</v>
      </c>
      <c r="F282" s="403">
        <v>0</v>
      </c>
      <c r="G282" s="403">
        <v>0</v>
      </c>
      <c r="H282" s="402">
        <v>0</v>
      </c>
      <c r="I282" s="403">
        <v>0</v>
      </c>
      <c r="J282" s="403">
        <v>0</v>
      </c>
      <c r="K282" s="144"/>
      <c r="L282" s="205"/>
      <c r="M282" s="205"/>
      <c r="N282" s="144"/>
      <c r="O282" s="144"/>
      <c r="P282" s="242"/>
      <c r="Q282" s="164"/>
      <c r="R282" s="137"/>
      <c r="S282" s="134"/>
      <c r="T282" s="109"/>
      <c r="U282" s="109"/>
      <c r="V282" s="109"/>
      <c r="W282" s="109"/>
      <c r="X282" s="109"/>
      <c r="Y282" s="127"/>
    </row>
    <row r="283" spans="1:25" ht="15">
      <c r="A283" s="250">
        <v>156</v>
      </c>
      <c r="B283" s="150" t="s">
        <v>88</v>
      </c>
      <c r="C283" s="249" t="s">
        <v>226</v>
      </c>
      <c r="D283" s="372">
        <v>72.59</v>
      </c>
      <c r="E283" s="372">
        <v>72.59</v>
      </c>
      <c r="F283" s="403">
        <v>51.931659708000005</v>
      </c>
      <c r="G283" s="403">
        <v>10.207997353000001</v>
      </c>
      <c r="H283" s="402">
        <v>24.73</v>
      </c>
      <c r="I283" s="403">
        <v>25.43</v>
      </c>
      <c r="J283" s="403">
        <v>1.76</v>
      </c>
      <c r="K283" s="144"/>
      <c r="L283" s="205"/>
      <c r="M283" s="205"/>
      <c r="N283" s="144"/>
      <c r="O283" s="144"/>
      <c r="P283" s="242"/>
      <c r="Q283" s="164"/>
      <c r="R283" s="137"/>
      <c r="S283" s="134"/>
      <c r="T283" s="109"/>
      <c r="U283" s="109"/>
      <c r="V283" s="109"/>
      <c r="W283" s="109"/>
      <c r="X283" s="109"/>
      <c r="Y283" s="127"/>
    </row>
    <row r="284" spans="1:25" ht="15">
      <c r="A284" s="250">
        <v>157</v>
      </c>
      <c r="B284" s="254" t="s">
        <v>614</v>
      </c>
      <c r="C284" s="249" t="s">
        <v>615</v>
      </c>
      <c r="D284" s="372">
        <v>80.099999999999994</v>
      </c>
      <c r="E284" s="372">
        <v>80.099999999999994</v>
      </c>
      <c r="F284" s="403">
        <v>0</v>
      </c>
      <c r="G284" s="403">
        <v>0</v>
      </c>
      <c r="H284" s="402">
        <v>0</v>
      </c>
      <c r="I284" s="403">
        <v>9.68</v>
      </c>
      <c r="J284" s="403">
        <v>1.3</v>
      </c>
      <c r="K284" s="144"/>
      <c r="L284" s="205"/>
      <c r="M284" s="205"/>
      <c r="N284" s="144"/>
      <c r="O284" s="144"/>
      <c r="P284" s="242"/>
      <c r="Q284" s="164"/>
      <c r="R284" s="137"/>
      <c r="S284" s="134"/>
      <c r="T284" s="109"/>
      <c r="U284" s="109"/>
      <c r="V284" s="109"/>
      <c r="W284" s="109"/>
      <c r="X284" s="109"/>
      <c r="Y284" s="127"/>
    </row>
    <row r="285" spans="1:25" ht="15">
      <c r="A285" s="250">
        <v>158</v>
      </c>
      <c r="B285" s="254" t="s">
        <v>397</v>
      </c>
      <c r="C285" s="249" t="s">
        <v>398</v>
      </c>
      <c r="D285" s="372">
        <v>20</v>
      </c>
      <c r="E285" s="372">
        <v>20</v>
      </c>
      <c r="F285" s="403">
        <v>20.444958467999999</v>
      </c>
      <c r="G285" s="403">
        <v>0.63633598899999999</v>
      </c>
      <c r="H285" s="402">
        <v>0</v>
      </c>
      <c r="I285" s="403">
        <v>1.49</v>
      </c>
      <c r="J285" s="403">
        <v>0.49</v>
      </c>
      <c r="K285" s="144"/>
      <c r="L285" s="205"/>
      <c r="M285" s="205"/>
      <c r="N285" s="144"/>
      <c r="O285" s="144"/>
      <c r="P285" s="242"/>
      <c r="Q285" s="164"/>
      <c r="R285" s="137"/>
      <c r="S285" s="134"/>
      <c r="T285" s="109"/>
      <c r="U285" s="109"/>
      <c r="V285" s="109"/>
      <c r="W285" s="109"/>
      <c r="X285" s="109"/>
      <c r="Y285" s="127"/>
    </row>
    <row r="286" spans="1:25">
      <c r="A286" s="214"/>
      <c r="B286" s="204"/>
      <c r="C286" s="204"/>
      <c r="D286" s="415"/>
      <c r="E286" s="415"/>
      <c r="F286" s="401"/>
      <c r="G286" s="401"/>
      <c r="H286" s="402"/>
      <c r="I286" s="403"/>
      <c r="J286" s="403"/>
      <c r="K286" s="205"/>
      <c r="L286" s="205"/>
      <c r="M286" s="205"/>
      <c r="N286" s="144"/>
      <c r="O286" s="144"/>
      <c r="P286" s="242"/>
      <c r="Q286" s="164"/>
      <c r="R286" s="137"/>
      <c r="S286" s="134"/>
      <c r="T286" s="109"/>
      <c r="U286" s="109"/>
      <c r="V286" s="109"/>
      <c r="W286" s="109"/>
      <c r="X286" s="109"/>
      <c r="Y286" s="127"/>
    </row>
    <row r="287" spans="1:25">
      <c r="A287" s="214"/>
      <c r="B287" s="149" t="s">
        <v>5</v>
      </c>
      <c r="C287" s="204"/>
      <c r="D287" s="372">
        <v>17390.338749120005</v>
      </c>
      <c r="E287" s="372">
        <v>19865.176879789495</v>
      </c>
      <c r="F287" s="372">
        <v>17463.214419450142</v>
      </c>
      <c r="G287" s="372">
        <v>518.95268347631838</v>
      </c>
      <c r="H287" s="373">
        <v>657.09559905469996</v>
      </c>
      <c r="I287" s="372">
        <v>908.99599999999941</v>
      </c>
      <c r="J287" s="372">
        <v>195.34499999999997</v>
      </c>
      <c r="K287" s="259">
        <v>0</v>
      </c>
      <c r="L287" s="205"/>
      <c r="M287" s="205"/>
      <c r="N287" s="144"/>
      <c r="O287" s="144"/>
      <c r="P287" s="242"/>
      <c r="Q287" s="164"/>
      <c r="R287" s="137"/>
      <c r="S287" s="134"/>
      <c r="T287" s="109"/>
      <c r="U287" s="109"/>
      <c r="V287" s="109"/>
      <c r="W287" s="109"/>
      <c r="X287" s="109"/>
      <c r="Y287" s="127"/>
    </row>
    <row r="288" spans="1:25">
      <c r="A288" s="244"/>
      <c r="B288" s="150"/>
      <c r="C288" s="150"/>
      <c r="D288" s="364"/>
      <c r="E288" s="364"/>
      <c r="F288" s="364"/>
      <c r="G288" s="364"/>
      <c r="H288" s="417"/>
      <c r="I288" s="364"/>
      <c r="J288" s="364"/>
      <c r="K288" s="150"/>
      <c r="L288" s="150"/>
      <c r="M288" s="150"/>
      <c r="N288" s="150"/>
      <c r="O288" s="150"/>
      <c r="P288" s="236"/>
      <c r="Q288" s="142"/>
      <c r="R288" s="137"/>
      <c r="S288" s="137"/>
      <c r="T288" s="114"/>
      <c r="U288" s="153"/>
      <c r="V288" s="124"/>
      <c r="W288" s="114"/>
      <c r="X288" s="109"/>
      <c r="Y288" s="127"/>
    </row>
    <row r="289" spans="1:25">
      <c r="A289" s="216" t="s">
        <v>4</v>
      </c>
      <c r="B289" s="149" t="s">
        <v>3</v>
      </c>
      <c r="C289" s="149"/>
      <c r="D289" s="364">
        <v>0</v>
      </c>
      <c r="E289" s="364">
        <v>0</v>
      </c>
      <c r="F289" s="418">
        <v>0</v>
      </c>
      <c r="G289" s="418">
        <v>0</v>
      </c>
      <c r="H289" s="417">
        <v>0</v>
      </c>
      <c r="I289" s="364">
        <v>0</v>
      </c>
      <c r="J289" s="364">
        <v>0</v>
      </c>
      <c r="K289" s="150"/>
      <c r="L289" s="150"/>
      <c r="M289" s="150"/>
      <c r="N289" s="150"/>
      <c r="O289" s="150"/>
      <c r="P289" s="236"/>
      <c r="Q289" s="136"/>
      <c r="R289" s="137"/>
      <c r="S289" s="137"/>
      <c r="T289" s="114"/>
      <c r="U289" s="153"/>
      <c r="V289" s="124"/>
      <c r="W289" s="114"/>
      <c r="X289" s="109"/>
      <c r="Y289" s="127"/>
    </row>
    <row r="290" spans="1:25">
      <c r="A290" s="216"/>
      <c r="B290" s="150"/>
      <c r="C290" s="150"/>
      <c r="D290" s="364"/>
      <c r="E290" s="364"/>
      <c r="F290" s="418"/>
      <c r="G290" s="418"/>
      <c r="H290" s="417"/>
      <c r="I290" s="418"/>
      <c r="J290" s="364"/>
      <c r="K290" s="150"/>
      <c r="L290" s="150"/>
      <c r="M290" s="150"/>
      <c r="N290" s="150"/>
      <c r="O290" s="150"/>
      <c r="P290" s="236"/>
      <c r="Q290" s="136"/>
      <c r="R290" s="137"/>
      <c r="S290" s="137"/>
      <c r="T290" s="114"/>
      <c r="U290" s="153"/>
      <c r="V290" s="124"/>
      <c r="W290" s="114"/>
      <c r="X290" s="109"/>
      <c r="Y290" s="127"/>
    </row>
    <row r="291" spans="1:25" ht="15">
      <c r="A291" s="216" t="s">
        <v>2</v>
      </c>
      <c r="B291" s="149" t="s">
        <v>1</v>
      </c>
      <c r="C291" s="249" t="s">
        <v>616</v>
      </c>
      <c r="D291" s="372">
        <v>2467</v>
      </c>
      <c r="E291" s="372">
        <v>3482.77</v>
      </c>
      <c r="F291" s="403">
        <v>3403.7725966799985</v>
      </c>
      <c r="G291" s="403">
        <v>26</v>
      </c>
      <c r="H291" s="394">
        <v>55</v>
      </c>
      <c r="I291" s="403">
        <v>48</v>
      </c>
      <c r="J291" s="403">
        <v>24</v>
      </c>
      <c r="K291" s="144"/>
      <c r="L291" s="192"/>
      <c r="M291" s="192"/>
      <c r="N291" s="195"/>
      <c r="O291" s="195"/>
      <c r="P291" s="243"/>
      <c r="Q291" s="155"/>
      <c r="R291" s="177"/>
      <c r="S291" s="178"/>
      <c r="T291" s="163"/>
      <c r="U291" s="163"/>
      <c r="V291" s="124"/>
      <c r="W291" s="114"/>
      <c r="X291" s="155"/>
      <c r="Y291" s="127"/>
    </row>
    <row r="292" spans="1:25" ht="15">
      <c r="A292" s="216"/>
      <c r="B292" s="149"/>
      <c r="C292" s="249"/>
      <c r="D292" s="372"/>
      <c r="E292" s="372"/>
      <c r="F292" s="403"/>
      <c r="G292" s="403"/>
      <c r="H292" s="394"/>
      <c r="I292" s="403"/>
      <c r="J292" s="403"/>
      <c r="K292" s="144"/>
      <c r="L292" s="192"/>
      <c r="M292" s="192"/>
      <c r="N292" s="195"/>
      <c r="O292" s="195"/>
      <c r="P292" s="243"/>
      <c r="Q292" s="155"/>
      <c r="R292" s="177"/>
      <c r="S292" s="178"/>
      <c r="T292" s="341"/>
      <c r="U292" s="341"/>
      <c r="V292" s="124"/>
      <c r="W292" s="114"/>
      <c r="X292" s="155"/>
      <c r="Y292" s="127"/>
    </row>
    <row r="293" spans="1:25" ht="13.5" thickBot="1">
      <c r="A293" s="232"/>
      <c r="B293" s="357" t="s">
        <v>0</v>
      </c>
      <c r="C293" s="357"/>
      <c r="D293" s="374">
        <v>19857.338749120005</v>
      </c>
      <c r="E293" s="374">
        <v>23347.946879789495</v>
      </c>
      <c r="F293" s="374">
        <v>20866.987016130141</v>
      </c>
      <c r="G293" s="374">
        <v>544.95268347631838</v>
      </c>
      <c r="H293" s="375">
        <v>712.09559905469996</v>
      </c>
      <c r="I293" s="374">
        <v>956.99599999999941</v>
      </c>
      <c r="J293" s="374">
        <v>219.34499999999997</v>
      </c>
      <c r="K293" s="260">
        <v>0</v>
      </c>
      <c r="L293" s="245"/>
      <c r="M293" s="245"/>
      <c r="N293" s="245"/>
      <c r="O293" s="246"/>
      <c r="P293" s="247"/>
      <c r="Q293" s="182"/>
      <c r="R293" s="179"/>
      <c r="S293" s="179"/>
      <c r="T293" s="114"/>
      <c r="U293" s="153"/>
      <c r="V293" s="109"/>
      <c r="W293" s="109"/>
      <c r="X293" s="109"/>
      <c r="Y293" s="127"/>
    </row>
    <row r="294" spans="1:25">
      <c r="A294" s="206"/>
      <c r="B294" s="358"/>
      <c r="C294" s="358"/>
      <c r="D294" s="376"/>
      <c r="E294" s="376"/>
      <c r="F294" s="376"/>
      <c r="G294" s="376"/>
      <c r="H294" s="377"/>
      <c r="I294" s="376"/>
      <c r="J294" s="378"/>
      <c r="K294" s="344"/>
      <c r="L294" s="147"/>
      <c r="M294" s="147"/>
      <c r="N294" s="147"/>
      <c r="O294" s="345"/>
      <c r="P294" s="345"/>
      <c r="Q294" s="143"/>
      <c r="R294" s="345"/>
      <c r="S294" s="345"/>
      <c r="T294" s="114"/>
      <c r="U294" s="153"/>
      <c r="V294" s="109"/>
      <c r="W294" s="109"/>
      <c r="X294" s="109"/>
      <c r="Y294" s="127"/>
    </row>
    <row r="295" spans="1:25" ht="15">
      <c r="A295" s="342" t="s">
        <v>70</v>
      </c>
      <c r="B295" s="343" t="s">
        <v>633</v>
      </c>
      <c r="C295" s="328"/>
      <c r="D295" s="419"/>
      <c r="E295" s="419"/>
      <c r="F295" s="420"/>
      <c r="G295" s="420">
        <v>0</v>
      </c>
      <c r="H295" s="363">
        <v>9.25</v>
      </c>
      <c r="I295" s="379"/>
      <c r="J295" s="380"/>
      <c r="K295" s="344"/>
      <c r="L295" s="147"/>
      <c r="M295" s="147"/>
      <c r="N295" s="147"/>
      <c r="O295" s="345"/>
      <c r="P295" s="345"/>
      <c r="Q295" s="143"/>
      <c r="R295" s="345"/>
      <c r="S295" s="345"/>
      <c r="T295" s="114"/>
      <c r="U295" s="153"/>
      <c r="V295" s="109"/>
      <c r="W295" s="109"/>
      <c r="X295" s="109"/>
      <c r="Y295" s="127"/>
    </row>
    <row r="296" spans="1:25" ht="13.5" thickBot="1">
      <c r="A296" s="239"/>
      <c r="B296" s="359" t="s">
        <v>129</v>
      </c>
      <c r="C296" s="240"/>
      <c r="D296" s="421">
        <v>26761.915211320003</v>
      </c>
      <c r="E296" s="421">
        <v>34853.524682154268</v>
      </c>
      <c r="F296" s="421">
        <v>26438.167028684769</v>
      </c>
      <c r="G296" s="421">
        <v>957.08139426391199</v>
      </c>
      <c r="H296" s="422">
        <v>1874.3855990546999</v>
      </c>
      <c r="I296" s="421">
        <v>1864.9959999999996</v>
      </c>
      <c r="J296" s="423">
        <v>1589.0258546333334</v>
      </c>
      <c r="K296" s="128"/>
      <c r="L296" s="128"/>
      <c r="M296" s="128"/>
      <c r="N296" s="109"/>
      <c r="O296" s="109"/>
      <c r="P296" s="109"/>
      <c r="Q296" s="148"/>
      <c r="R296" s="109"/>
      <c r="S296" s="109"/>
      <c r="T296" s="109"/>
      <c r="U296" s="109"/>
      <c r="V296" s="109"/>
      <c r="W296" s="109"/>
      <c r="X296" s="109"/>
      <c r="Y296" s="109"/>
    </row>
    <row r="297" spans="1:25">
      <c r="A297" s="109"/>
      <c r="B297" s="109"/>
      <c r="C297" s="109"/>
      <c r="D297" s="127"/>
      <c r="E297" s="129"/>
      <c r="F297" s="109"/>
      <c r="G297" s="129"/>
      <c r="H297" s="350"/>
      <c r="I297" s="129"/>
      <c r="J297" s="129"/>
      <c r="K297" s="128"/>
      <c r="L297" s="128"/>
      <c r="M297" s="128"/>
      <c r="N297" s="109"/>
      <c r="O297" s="109"/>
      <c r="P297" s="109"/>
      <c r="Q297" s="148"/>
      <c r="R297" s="109"/>
      <c r="S297" s="109"/>
      <c r="T297" s="109"/>
      <c r="U297" s="109"/>
      <c r="V297" s="109"/>
      <c r="W297" s="109"/>
      <c r="X297" s="109"/>
      <c r="Y297" s="109"/>
    </row>
    <row r="298" spans="1:25">
      <c r="A298" s="109"/>
      <c r="B298" s="109"/>
      <c r="C298" s="109"/>
      <c r="D298" s="127"/>
      <c r="E298" s="128"/>
      <c r="F298" s="128"/>
      <c r="G298" s="128"/>
      <c r="H298" s="350"/>
      <c r="I298" s="129"/>
      <c r="J298" s="129"/>
      <c r="K298" s="128"/>
      <c r="L298" s="128"/>
      <c r="M298" s="128"/>
      <c r="N298" s="109"/>
      <c r="O298" s="109"/>
      <c r="P298" s="109"/>
      <c r="Q298" s="148"/>
      <c r="R298" s="109"/>
      <c r="S298" s="109"/>
      <c r="T298" s="109"/>
      <c r="U298" s="109"/>
      <c r="V298" s="109"/>
      <c r="W298" s="109"/>
      <c r="X298" s="109"/>
      <c r="Y298" s="109"/>
    </row>
    <row r="299" spans="1:25">
      <c r="A299" s="121" t="s">
        <v>634</v>
      </c>
      <c r="B299" s="109"/>
      <c r="C299" s="109"/>
      <c r="D299" s="127"/>
      <c r="E299" s="109"/>
      <c r="F299" s="109"/>
      <c r="G299" s="127"/>
      <c r="H299" s="109"/>
      <c r="I299" s="109"/>
      <c r="J299" s="109"/>
      <c r="K299" s="109"/>
      <c r="L299" s="109"/>
      <c r="M299" s="109"/>
      <c r="N299" s="109"/>
      <c r="O299" s="109"/>
      <c r="P299" s="109"/>
      <c r="Q299" s="148"/>
      <c r="R299" s="109"/>
      <c r="S299" s="109"/>
      <c r="T299" s="109"/>
      <c r="U299" s="121"/>
      <c r="V299" s="109"/>
      <c r="W299" s="109"/>
      <c r="X299" s="109"/>
      <c r="Y299" s="109"/>
    </row>
    <row r="300" spans="1:25">
      <c r="A300" s="121"/>
      <c r="B300" s="109"/>
      <c r="C300" s="109"/>
      <c r="D300" s="109"/>
      <c r="E300" s="127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48"/>
      <c r="R300" s="109"/>
      <c r="S300" s="109"/>
      <c r="T300" s="109"/>
      <c r="U300" s="121"/>
      <c r="V300" s="109"/>
      <c r="W300" s="109"/>
      <c r="X300" s="109"/>
      <c r="Y300" s="109"/>
    </row>
    <row r="301" spans="1:25">
      <c r="A301" s="121"/>
      <c r="B301" s="109"/>
      <c r="C301" s="109"/>
      <c r="D301" s="109"/>
      <c r="E301" s="109"/>
      <c r="F301" s="109"/>
      <c r="G301" s="127"/>
      <c r="H301" s="351"/>
      <c r="I301" s="109"/>
      <c r="J301" s="109"/>
      <c r="K301" s="109"/>
      <c r="L301" s="109"/>
      <c r="M301" s="109"/>
      <c r="N301" s="109"/>
      <c r="O301" s="109"/>
      <c r="P301" s="109"/>
      <c r="Q301" s="148"/>
      <c r="R301" s="109"/>
      <c r="S301" s="109"/>
      <c r="T301" s="109"/>
      <c r="U301" s="121"/>
      <c r="V301" s="109"/>
      <c r="W301" s="109"/>
      <c r="X301" s="109"/>
      <c r="Y301" s="109"/>
    </row>
    <row r="302" spans="1:25">
      <c r="A302" s="121"/>
      <c r="B302" s="109"/>
      <c r="C302" s="109"/>
      <c r="D302" s="127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48"/>
      <c r="R302" s="109"/>
      <c r="S302" s="109"/>
      <c r="T302" s="109"/>
      <c r="U302" s="121"/>
      <c r="V302" s="109"/>
      <c r="W302" s="109"/>
      <c r="X302" s="109"/>
      <c r="Y302" s="109"/>
    </row>
    <row r="303" spans="1:25">
      <c r="A303" s="121"/>
      <c r="B303" s="109"/>
      <c r="C303" s="109"/>
      <c r="D303" s="109"/>
      <c r="E303" s="109"/>
      <c r="F303" s="109"/>
      <c r="G303" s="109"/>
      <c r="H303" s="351"/>
      <c r="I303" s="109"/>
      <c r="J303" s="109"/>
      <c r="K303" s="109"/>
      <c r="L303" s="109"/>
      <c r="M303" s="109"/>
      <c r="N303" s="109"/>
      <c r="O303" s="109"/>
      <c r="P303" s="109"/>
      <c r="Q303" s="148"/>
      <c r="R303" s="109"/>
      <c r="S303" s="109"/>
      <c r="T303" s="109"/>
      <c r="U303" s="121"/>
      <c r="V303" s="109"/>
      <c r="W303" s="109"/>
      <c r="X303" s="109"/>
      <c r="Y303" s="109"/>
    </row>
    <row r="304" spans="1:25">
      <c r="A304" s="121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48"/>
      <c r="R304" s="109"/>
      <c r="S304" s="109"/>
      <c r="T304" s="109"/>
      <c r="U304" s="121"/>
      <c r="V304" s="109"/>
      <c r="W304" s="109"/>
      <c r="X304" s="109"/>
      <c r="Y304" s="109"/>
    </row>
    <row r="305" spans="1:21">
      <c r="A305" s="121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48"/>
      <c r="R305" s="109"/>
      <c r="S305" s="109"/>
      <c r="T305" s="109"/>
      <c r="U305" s="121"/>
    </row>
    <row r="306" spans="1:21">
      <c r="A306" s="121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48"/>
      <c r="R306" s="109"/>
      <c r="S306" s="109"/>
      <c r="T306" s="109"/>
      <c r="U306" s="121"/>
    </row>
    <row r="307" spans="1:21">
      <c r="A307" s="121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48"/>
      <c r="R307" s="109"/>
      <c r="S307" s="109"/>
      <c r="T307" s="109"/>
      <c r="U307" s="121"/>
    </row>
    <row r="308" spans="1:21">
      <c r="A308" s="121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48"/>
      <c r="R308" s="109"/>
      <c r="S308" s="109"/>
      <c r="T308" s="109"/>
      <c r="U308" s="121"/>
    </row>
    <row r="309" spans="1:21">
      <c r="A309" s="121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48"/>
      <c r="R309" s="109"/>
      <c r="S309" s="109"/>
      <c r="T309" s="109"/>
      <c r="U309" s="121"/>
    </row>
    <row r="310" spans="1:21">
      <c r="A310" s="121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48"/>
      <c r="R310" s="109"/>
      <c r="S310" s="109"/>
      <c r="T310" s="109"/>
      <c r="U310" s="121"/>
    </row>
    <row r="311" spans="1:21">
      <c r="A311" s="121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48"/>
      <c r="R311" s="109"/>
      <c r="S311" s="109"/>
      <c r="T311" s="109"/>
      <c r="U311" s="121"/>
    </row>
    <row r="312" spans="1:21">
      <c r="A312" s="121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48"/>
      <c r="R312" s="109"/>
      <c r="S312" s="109"/>
      <c r="T312" s="109"/>
      <c r="U312" s="121"/>
    </row>
    <row r="313" spans="1:21">
      <c r="A313" s="121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48"/>
      <c r="R313" s="109"/>
      <c r="S313" s="109"/>
      <c r="T313" s="109"/>
      <c r="U313" s="121"/>
    </row>
    <row r="314" spans="1:21">
      <c r="A314" s="121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48"/>
      <c r="R314" s="109"/>
      <c r="S314" s="109"/>
      <c r="T314" s="109"/>
      <c r="U314" s="121"/>
    </row>
    <row r="315" spans="1:21">
      <c r="A315" s="121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48"/>
      <c r="R315" s="109"/>
      <c r="S315" s="109"/>
      <c r="T315" s="109"/>
      <c r="U315" s="121"/>
    </row>
    <row r="316" spans="1:21">
      <c r="A316" s="121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48"/>
      <c r="R316" s="109"/>
      <c r="S316" s="109"/>
      <c r="T316" s="109"/>
      <c r="U316" s="121"/>
    </row>
    <row r="317" spans="1:21">
      <c r="A317" s="121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48"/>
      <c r="R317" s="109"/>
      <c r="S317" s="109"/>
      <c r="T317" s="109"/>
      <c r="U317" s="121"/>
    </row>
    <row r="318" spans="1:21">
      <c r="A318" s="121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48"/>
      <c r="R318" s="109"/>
      <c r="S318" s="109"/>
      <c r="T318" s="109"/>
      <c r="U318" s="121"/>
    </row>
    <row r="319" spans="1:21">
      <c r="A319" s="121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48"/>
      <c r="R319" s="109"/>
      <c r="S319" s="109"/>
      <c r="T319" s="109"/>
      <c r="U319" s="121"/>
    </row>
    <row r="320" spans="1:21">
      <c r="A320" s="121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48"/>
      <c r="R320" s="109"/>
      <c r="S320" s="109"/>
      <c r="T320" s="109"/>
      <c r="U320" s="121"/>
    </row>
    <row r="321" spans="1:21">
      <c r="A321" s="121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48"/>
      <c r="R321" s="109"/>
      <c r="S321" s="109"/>
      <c r="T321" s="109"/>
      <c r="U321" s="121"/>
    </row>
    <row r="322" spans="1:21">
      <c r="A322" s="121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48"/>
      <c r="R322" s="109"/>
      <c r="S322" s="109"/>
      <c r="T322" s="109"/>
      <c r="U322" s="121"/>
    </row>
    <row r="323" spans="1:21">
      <c r="A323" s="121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48"/>
      <c r="R323" s="109"/>
      <c r="S323" s="109"/>
      <c r="T323" s="109"/>
      <c r="U323" s="121"/>
    </row>
    <row r="324" spans="1:21">
      <c r="A324" s="121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48"/>
      <c r="R324" s="109"/>
      <c r="S324" s="109"/>
      <c r="T324" s="109"/>
      <c r="U324" s="121"/>
    </row>
    <row r="325" spans="1:21">
      <c r="A325" s="121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48"/>
      <c r="R325" s="109"/>
      <c r="S325" s="109"/>
      <c r="T325" s="109"/>
      <c r="U325" s="121"/>
    </row>
  </sheetData>
  <mergeCells count="7">
    <mergeCell ref="H4:I4"/>
    <mergeCell ref="N4:P4"/>
    <mergeCell ref="H114:I114"/>
    <mergeCell ref="N114:P114"/>
    <mergeCell ref="A1:P1"/>
    <mergeCell ref="D52:D54"/>
    <mergeCell ref="E52:E54"/>
  </mergeCells>
  <hyperlinks>
    <hyperlink ref="T62:T63" r:id="rId1" display="=@if(F30&gt;I30,1,0)"/>
    <hyperlink ref="T7:T105" r:id="rId2" display="=@if(F30&gt;I30,1,0)"/>
    <hyperlink ref="W32" r:id="rId3" display="=@if(F30&gt;I30,1,0)"/>
    <hyperlink ref="W33" r:id="rId4" display="=@if(F30&gt;I30,1,0)"/>
    <hyperlink ref="W34" r:id="rId5" display="=@if(F30&gt;I30,1,0)"/>
    <hyperlink ref="W8" r:id="rId6" display="=@if(F30&gt;I30,1,0)"/>
    <hyperlink ref="W9" r:id="rId7" display="=@if(F30&gt;I30,1,0)"/>
    <hyperlink ref="W30" r:id="rId8" display="=@if(F30&gt;I30,1,0)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20">
    <pageSetUpPr fitToPage="1"/>
  </sheetPr>
  <dimension ref="C2:Q62"/>
  <sheetViews>
    <sheetView topLeftCell="A30" workbookViewId="0">
      <selection activeCell="L37" sqref="L37"/>
    </sheetView>
  </sheetViews>
  <sheetFormatPr defaultColWidth="8.85546875" defaultRowHeight="12.75"/>
  <cols>
    <col min="3" max="3" width="35.42578125" customWidth="1"/>
    <col min="4" max="4" width="15.42578125" customWidth="1"/>
    <col min="5" max="7" width="13.42578125" customWidth="1"/>
    <col min="8" max="8" width="11" customWidth="1"/>
    <col min="10" max="10" width="15.42578125" customWidth="1"/>
    <col min="12" max="13" width="10.42578125" customWidth="1"/>
    <col min="14" max="14" width="12.42578125" customWidth="1"/>
    <col min="15" max="15" width="16.42578125" customWidth="1"/>
    <col min="16" max="16" width="17.42578125" customWidth="1"/>
    <col min="17" max="17" width="11.42578125" customWidth="1"/>
  </cols>
  <sheetData>
    <row r="2" spans="3:13" ht="13.5" thickBot="1">
      <c r="D2" s="103" t="s">
        <v>677</v>
      </c>
      <c r="E2" s="103" t="s">
        <v>667</v>
      </c>
      <c r="F2" s="103" t="s">
        <v>666</v>
      </c>
      <c r="G2" s="103" t="s">
        <v>665</v>
      </c>
    </row>
    <row r="3" spans="3:13">
      <c r="C3" s="440" t="s">
        <v>655</v>
      </c>
      <c r="D3" s="441"/>
      <c r="E3" s="441"/>
      <c r="F3" s="441"/>
      <c r="G3" s="442"/>
      <c r="H3" s="57"/>
      <c r="I3" s="57"/>
      <c r="J3" s="57"/>
    </row>
    <row r="4" spans="3:13">
      <c r="C4" s="443" t="s">
        <v>636</v>
      </c>
      <c r="D4" s="438" t="e">
        <f>#REF!</f>
        <v>#REF!</v>
      </c>
      <c r="E4" s="438" t="e">
        <f>#REF!</f>
        <v>#REF!</v>
      </c>
      <c r="F4" s="438" t="e">
        <f>#REF!</f>
        <v>#REF!</v>
      </c>
      <c r="G4" s="444" t="e">
        <f>#REF!</f>
        <v>#REF!</v>
      </c>
      <c r="H4" s="485"/>
      <c r="I4" s="485"/>
      <c r="J4" s="486"/>
    </row>
    <row r="5" spans="3:13">
      <c r="C5" s="443" t="s">
        <v>637</v>
      </c>
      <c r="D5" s="438" t="e">
        <f>#REF!</f>
        <v>#REF!</v>
      </c>
      <c r="E5" s="438" t="e">
        <f>#REF!</f>
        <v>#REF!</v>
      </c>
      <c r="F5" s="438" t="e">
        <f>#REF!</f>
        <v>#REF!</v>
      </c>
      <c r="G5" s="444" t="e">
        <f>#REF!</f>
        <v>#REF!</v>
      </c>
      <c r="H5" s="485"/>
      <c r="I5" s="485"/>
      <c r="J5" s="486"/>
    </row>
    <row r="6" spans="3:13">
      <c r="C6" s="443" t="s">
        <v>638</v>
      </c>
      <c r="D6" s="438" t="e">
        <f>#REF!</f>
        <v>#REF!</v>
      </c>
      <c r="E6" s="438" t="e">
        <f>#REF!</f>
        <v>#REF!</v>
      </c>
      <c r="F6" s="438" t="e">
        <f>#REF!</f>
        <v>#REF!</v>
      </c>
      <c r="G6" s="444" t="e">
        <f>#REF!</f>
        <v>#REF!</v>
      </c>
      <c r="H6" s="485"/>
      <c r="I6" s="485"/>
      <c r="J6" s="486"/>
    </row>
    <row r="7" spans="3:13">
      <c r="C7" s="443" t="s">
        <v>639</v>
      </c>
      <c r="D7" s="438" t="e">
        <f>#REF!</f>
        <v>#REF!</v>
      </c>
      <c r="E7" s="438" t="e">
        <f>#REF!</f>
        <v>#REF!</v>
      </c>
      <c r="F7" s="438" t="e">
        <f>#REF!</f>
        <v>#REF!</v>
      </c>
      <c r="G7" s="444" t="e">
        <f>#REF!</f>
        <v>#REF!</v>
      </c>
      <c r="H7" s="485"/>
      <c r="I7" s="485"/>
      <c r="J7" s="486"/>
    </row>
    <row r="8" spans="3:13">
      <c r="C8" s="443" t="s">
        <v>640</v>
      </c>
      <c r="D8" s="438" t="e">
        <f>#REF!</f>
        <v>#REF!</v>
      </c>
      <c r="E8" s="438" t="e">
        <f>#REF!</f>
        <v>#REF!</v>
      </c>
      <c r="F8" s="438" t="e">
        <f>#REF!</f>
        <v>#REF!</v>
      </c>
      <c r="G8" s="444" t="e">
        <f>#REF!</f>
        <v>#REF!</v>
      </c>
      <c r="H8" s="485"/>
      <c r="I8" s="485"/>
      <c r="J8" s="486"/>
    </row>
    <row r="9" spans="3:13">
      <c r="C9" s="443" t="s">
        <v>641</v>
      </c>
      <c r="D9" s="438" t="e">
        <f>#REF!</f>
        <v>#REF!</v>
      </c>
      <c r="E9" s="439" t="e">
        <f>#REF!</f>
        <v>#REF!</v>
      </c>
      <c r="F9" s="439" t="e">
        <f>#REF!</f>
        <v>#REF!</v>
      </c>
      <c r="G9" s="445" t="e">
        <f>#REF!</f>
        <v>#REF!</v>
      </c>
      <c r="H9" s="485"/>
      <c r="I9" s="485"/>
      <c r="J9" s="486"/>
    </row>
    <row r="10" spans="3:13">
      <c r="C10" s="452" t="s">
        <v>642</v>
      </c>
      <c r="D10" s="453" t="e">
        <f>SUM(D4:D9)</f>
        <v>#REF!</v>
      </c>
      <c r="E10" s="453" t="e">
        <f>SUM(E4:E9)</f>
        <v>#REF!</v>
      </c>
      <c r="F10" s="453" t="e">
        <f>SUM(F4:F9)</f>
        <v>#REF!</v>
      </c>
      <c r="G10" s="453" t="e">
        <f>SUM(G4:G9)</f>
        <v>#REF!</v>
      </c>
      <c r="H10" s="487"/>
      <c r="I10" s="487"/>
      <c r="J10" s="488"/>
    </row>
    <row r="11" spans="3:13" ht="13.5" thickBot="1">
      <c r="C11" s="427" t="s">
        <v>643</v>
      </c>
      <c r="D11" s="428"/>
      <c r="E11" s="428"/>
      <c r="F11" s="428"/>
      <c r="G11" s="429"/>
      <c r="H11" s="489"/>
      <c r="I11" s="489"/>
      <c r="J11" s="489"/>
      <c r="K11" s="430"/>
      <c r="L11" s="430"/>
      <c r="M11" s="430"/>
    </row>
    <row r="12" spans="3:13" ht="43.5" customHeight="1">
      <c r="C12" s="446" t="s">
        <v>644</v>
      </c>
      <c r="D12" s="447" t="e">
        <f>#REF!+#REF!</f>
        <v>#REF!</v>
      </c>
      <c r="E12" s="447" t="e">
        <f>#REF!</f>
        <v>#REF!</v>
      </c>
      <c r="F12" s="447" t="e">
        <f>#REF!+#REF!</f>
        <v>#REF!</v>
      </c>
      <c r="G12" s="447" t="e">
        <f>#REF!</f>
        <v>#REF!</v>
      </c>
      <c r="H12" s="485"/>
      <c r="I12" s="487"/>
      <c r="J12" s="486"/>
    </row>
    <row r="13" spans="3:13" ht="13.5" thickBot="1">
      <c r="C13" s="426" t="s">
        <v>645</v>
      </c>
      <c r="D13" s="433" t="e">
        <f>#REF!</f>
        <v>#REF!</v>
      </c>
      <c r="E13" s="433" t="e">
        <f>#REF!</f>
        <v>#REF!</v>
      </c>
      <c r="F13" s="433" t="e">
        <f>#REF!</f>
        <v>#REF!</v>
      </c>
      <c r="G13" s="433" t="e">
        <f>#REF!</f>
        <v>#REF!</v>
      </c>
      <c r="H13" s="485"/>
      <c r="I13" s="487"/>
      <c r="J13" s="486"/>
    </row>
    <row r="14" spans="3:13" ht="13.5" thickBot="1">
      <c r="C14" s="426" t="s">
        <v>646</v>
      </c>
      <c r="D14" s="433" t="e">
        <f>#REF!</f>
        <v>#REF!</v>
      </c>
      <c r="E14" s="433" t="e">
        <f>#REF!</f>
        <v>#REF!</v>
      </c>
      <c r="F14" s="433" t="e">
        <f>#REF!</f>
        <v>#REF!</v>
      </c>
      <c r="G14" s="433" t="e">
        <f>#REF!</f>
        <v>#REF!</v>
      </c>
      <c r="H14" s="485"/>
      <c r="I14" s="487"/>
      <c r="J14" s="486"/>
    </row>
    <row r="15" spans="3:13" ht="13.5" thickBot="1">
      <c r="C15" s="426" t="s">
        <v>647</v>
      </c>
      <c r="D15" s="433" t="e">
        <f>#REF!</f>
        <v>#REF!</v>
      </c>
      <c r="E15" s="433" t="e">
        <f>#REF!</f>
        <v>#REF!</v>
      </c>
      <c r="F15" s="433" t="e">
        <f>#REF!</f>
        <v>#REF!</v>
      </c>
      <c r="G15" s="433" t="e">
        <f>#REF!</f>
        <v>#REF!</v>
      </c>
      <c r="H15" s="485"/>
      <c r="I15" s="485"/>
      <c r="J15" s="486"/>
    </row>
    <row r="16" spans="3:13" ht="13.5" thickBot="1">
      <c r="C16" s="426" t="s">
        <v>648</v>
      </c>
      <c r="D16" s="433" t="e">
        <f>#REF!</f>
        <v>#REF!</v>
      </c>
      <c r="E16" s="433" t="e">
        <f>#REF!</f>
        <v>#REF!</v>
      </c>
      <c r="F16" s="433" t="e">
        <f>#REF!</f>
        <v>#REF!</v>
      </c>
      <c r="G16" s="433" t="e">
        <f>#REF!</f>
        <v>#REF!</v>
      </c>
      <c r="H16" s="485"/>
      <c r="I16" s="485"/>
      <c r="J16" s="486"/>
    </row>
    <row r="17" spans="3:10" ht="13.5" thickBot="1">
      <c r="C17" s="426" t="s">
        <v>649</v>
      </c>
      <c r="D17" s="433" t="e">
        <f>#REF!</f>
        <v>#REF!</v>
      </c>
      <c r="E17" s="433" t="e">
        <f>#REF!</f>
        <v>#REF!</v>
      </c>
      <c r="F17" s="433" t="e">
        <f>#REF!</f>
        <v>#REF!</v>
      </c>
      <c r="G17" s="433" t="e">
        <f>#REF!</f>
        <v>#REF!</v>
      </c>
      <c r="H17" s="485"/>
      <c r="I17" s="485"/>
      <c r="J17" s="486"/>
    </row>
    <row r="18" spans="3:10" ht="13.5" thickBot="1">
      <c r="C18" s="426" t="s">
        <v>650</v>
      </c>
      <c r="D18" s="433" t="e">
        <f>#REF!</f>
        <v>#REF!</v>
      </c>
      <c r="E18" s="433" t="e">
        <f>#REF!</f>
        <v>#REF!</v>
      </c>
      <c r="F18" s="433" t="e">
        <f>#REF!</f>
        <v>#REF!</v>
      </c>
      <c r="G18" s="433" t="e">
        <f>#REF!</f>
        <v>#REF!</v>
      </c>
      <c r="H18" s="485"/>
      <c r="I18" s="485"/>
      <c r="J18" s="486"/>
    </row>
    <row r="19" spans="3:10" ht="13.5" thickBot="1">
      <c r="C19" s="426" t="s">
        <v>651</v>
      </c>
      <c r="D19" s="425"/>
      <c r="E19" s="425"/>
      <c r="F19" s="425"/>
      <c r="G19" s="425"/>
      <c r="H19" s="490"/>
      <c r="I19" s="487"/>
      <c r="J19" s="491"/>
    </row>
    <row r="20" spans="3:10" ht="26.25" thickBot="1">
      <c r="C20" s="431" t="s">
        <v>652</v>
      </c>
      <c r="D20" s="434" t="e">
        <f>#REF!</f>
        <v>#REF!</v>
      </c>
      <c r="E20" s="434" t="e">
        <f>#REF!</f>
        <v>#REF!</v>
      </c>
      <c r="F20" s="434" t="e">
        <f>#REF!</f>
        <v>#REF!</v>
      </c>
      <c r="G20" s="434" t="e">
        <f>#REF!</f>
        <v>#REF!</v>
      </c>
      <c r="H20" s="485"/>
      <c r="I20" s="485"/>
      <c r="J20" s="486"/>
    </row>
    <row r="21" spans="3:10" ht="51.75" thickBot="1">
      <c r="C21" s="431" t="s">
        <v>653</v>
      </c>
      <c r="D21" s="433" t="e">
        <f>#REF!</f>
        <v>#REF!</v>
      </c>
      <c r="E21" s="433" t="e">
        <f>#REF!</f>
        <v>#REF!</v>
      </c>
      <c r="F21" s="433" t="e">
        <f>#REF!</f>
        <v>#REF!</v>
      </c>
      <c r="G21" s="433" t="e">
        <f>#REF!</f>
        <v>#REF!</v>
      </c>
      <c r="H21" s="485"/>
      <c r="I21" s="485"/>
      <c r="J21" s="486"/>
    </row>
    <row r="22" spans="3:10" ht="13.5" thickBot="1">
      <c r="C22" s="436" t="s">
        <v>654</v>
      </c>
      <c r="D22" s="437" t="e">
        <f>SUM(D12:D21)</f>
        <v>#REF!</v>
      </c>
      <c r="E22" s="437" t="e">
        <f>SUM(E12:E21)</f>
        <v>#REF!</v>
      </c>
      <c r="F22" s="437" t="e">
        <f>SUM(F12:F21)</f>
        <v>#REF!</v>
      </c>
      <c r="G22" s="437" t="e">
        <f>SUM(G12:G21)</f>
        <v>#REF!</v>
      </c>
      <c r="H22" s="492"/>
      <c r="I22" s="492"/>
      <c r="J22" s="492"/>
    </row>
    <row r="23" spans="3:10" ht="13.5" thickBot="1">
      <c r="C23" s="432" t="s">
        <v>135</v>
      </c>
      <c r="D23" s="449" t="e">
        <f>#REF!+#REF!+#REF!+#REF!+#REF!+#REF!+#REF!+#REF!+#REF!+#REF!+#REF!+#REF!</f>
        <v>#REF!</v>
      </c>
      <c r="E23" s="454" t="e">
        <f>#REF!+0.4</f>
        <v>#REF!</v>
      </c>
      <c r="F23" s="449" t="e">
        <f>#REF!</f>
        <v>#REF!</v>
      </c>
      <c r="G23" s="449" t="e">
        <f>#REF!</f>
        <v>#REF!</v>
      </c>
      <c r="H23" s="485"/>
      <c r="I23" s="485"/>
      <c r="J23" s="486"/>
    </row>
    <row r="24" spans="3:10" ht="13.5" thickBot="1">
      <c r="C24" s="426" t="s">
        <v>133</v>
      </c>
      <c r="D24" s="449" t="e">
        <f>#REF!+#REF!+#REF!+#REF!+#REF!+#REF!+#REF!+#REF!+#REF!+#REF!+#REF!+#REF!</f>
        <v>#REF!</v>
      </c>
      <c r="E24" s="455" t="e">
        <f>#REF!-0.4</f>
        <v>#REF!</v>
      </c>
      <c r="F24" s="433" t="e">
        <f>#REF!</f>
        <v>#REF!</v>
      </c>
      <c r="G24" s="433" t="e">
        <f>#REF!</f>
        <v>#REF!</v>
      </c>
      <c r="H24" s="485"/>
      <c r="I24" s="485"/>
      <c r="J24" s="486"/>
    </row>
    <row r="25" spans="3:10" ht="13.5" thickBot="1">
      <c r="C25" s="426" t="s">
        <v>656</v>
      </c>
      <c r="D25" s="450" t="e">
        <f>#REF!</f>
        <v>#REF!</v>
      </c>
      <c r="E25" s="450" t="e">
        <f>#REF!</f>
        <v>#REF!</v>
      </c>
      <c r="F25" s="451" t="e">
        <f>#REF!</f>
        <v>#REF!</v>
      </c>
      <c r="G25" s="450" t="e">
        <f>#REF!</f>
        <v>#REF!</v>
      </c>
      <c r="H25" s="485"/>
      <c r="I25" s="485"/>
      <c r="J25" s="486"/>
    </row>
    <row r="26" spans="3:10" ht="13.5" thickBot="1">
      <c r="C26" s="426" t="s">
        <v>657</v>
      </c>
      <c r="D26" s="433" t="e">
        <f>D27-(D25+D24+D23+D22+D10)</f>
        <v>#REF!</v>
      </c>
      <c r="E26" s="433" t="e">
        <f>E27-(E25+E24+E23+E22+E10)</f>
        <v>#REF!</v>
      </c>
      <c r="F26" s="433" t="e">
        <f>F27-(F25+F24+F23+F22+F10)</f>
        <v>#REF!</v>
      </c>
      <c r="G26" s="433" t="e">
        <f>G27-(G25+G24+G23+G22+G10)</f>
        <v>#REF!</v>
      </c>
      <c r="H26" s="485"/>
      <c r="I26" s="487"/>
      <c r="J26" s="486"/>
    </row>
    <row r="27" spans="3:10" ht="13.5" thickBot="1">
      <c r="C27" s="426" t="s">
        <v>129</v>
      </c>
      <c r="D27" s="435" t="e">
        <f>#REF!</f>
        <v>#REF!</v>
      </c>
      <c r="E27" s="494" t="e">
        <f>#REF!</f>
        <v>#REF!</v>
      </c>
      <c r="F27" s="494" t="e">
        <f>#REF!</f>
        <v>#REF!</v>
      </c>
      <c r="G27" s="494" t="e">
        <f>#REF!</f>
        <v>#REF!</v>
      </c>
      <c r="H27" s="487"/>
      <c r="I27" s="487"/>
      <c r="J27" s="488"/>
    </row>
    <row r="32" spans="3:10" ht="13.5" thickBot="1"/>
    <row r="33" spans="3:17" ht="26.25" thickBot="1">
      <c r="D33" s="460" t="s">
        <v>126</v>
      </c>
      <c r="E33" s="461" t="s">
        <v>663</v>
      </c>
      <c r="F33" s="460" t="s">
        <v>667</v>
      </c>
      <c r="G33" s="460" t="s">
        <v>666</v>
      </c>
      <c r="H33" s="460" t="s">
        <v>664</v>
      </c>
      <c r="I33" s="483" t="s">
        <v>665</v>
      </c>
    </row>
    <row r="34" spans="3:17" ht="13.5" thickBot="1">
      <c r="C34" s="456" t="s">
        <v>658</v>
      </c>
      <c r="D34" s="457"/>
      <c r="E34" s="457"/>
      <c r="F34" s="457"/>
      <c r="G34" s="457"/>
      <c r="H34" s="457"/>
      <c r="I34" s="457"/>
    </row>
    <row r="35" spans="3:17" ht="13.5" thickBot="1">
      <c r="C35" s="458" t="s">
        <v>659</v>
      </c>
      <c r="D35" s="462" t="e">
        <f>N62</f>
        <v>#REF!</v>
      </c>
      <c r="E35" s="462" t="e">
        <f>O62</f>
        <v>#REF!</v>
      </c>
      <c r="F35" s="462" t="e">
        <f>#REF!</f>
        <v>#REF!</v>
      </c>
      <c r="G35" s="462" t="e">
        <f>#REF!</f>
        <v>#REF!</v>
      </c>
      <c r="H35" s="462" t="e">
        <f>D10</f>
        <v>#REF!</v>
      </c>
      <c r="I35" s="462" t="e">
        <f>#REF!</f>
        <v>#REF!</v>
      </c>
    </row>
    <row r="36" spans="3:17">
      <c r="C36" s="470" t="s">
        <v>662</v>
      </c>
      <c r="D36" s="471" t="e">
        <f>P62</f>
        <v>#REF!</v>
      </c>
      <c r="E36" s="471" t="e">
        <f>Q62</f>
        <v>#REF!</v>
      </c>
      <c r="F36" s="471" t="e">
        <f>#REF!</f>
        <v>#REF!</v>
      </c>
      <c r="G36" s="471" t="e">
        <f>#REF!</f>
        <v>#REF!</v>
      </c>
      <c r="H36" s="471" t="e">
        <f>G62</f>
        <v>#N/A</v>
      </c>
      <c r="I36" s="471" t="e">
        <f>#REF!</f>
        <v>#REF!</v>
      </c>
    </row>
    <row r="37" spans="3:17" ht="13.5" thickBot="1">
      <c r="C37" s="459" t="s">
        <v>134</v>
      </c>
      <c r="D37" s="469" t="e">
        <f>#N/A</f>
        <v>#N/A</v>
      </c>
      <c r="E37" s="469" t="e">
        <f>#N/A</f>
        <v>#N/A</v>
      </c>
      <c r="F37" s="469" t="e">
        <f>#N/A</f>
        <v>#N/A</v>
      </c>
      <c r="G37" s="469" t="e">
        <f>#N/A</f>
        <v>#N/A</v>
      </c>
      <c r="H37" s="469" t="e">
        <f>#N/A</f>
        <v>#N/A</v>
      </c>
      <c r="I37" s="469" t="e">
        <f>#N/A</f>
        <v>#N/A</v>
      </c>
    </row>
    <row r="38" spans="3:17" ht="13.5" thickBot="1">
      <c r="C38" s="458" t="s">
        <v>135</v>
      </c>
      <c r="D38" s="448" t="s">
        <v>660</v>
      </c>
      <c r="E38" s="448" t="s">
        <v>660</v>
      </c>
      <c r="F38" s="463" t="e">
        <f>#REF!</f>
        <v>#REF!</v>
      </c>
      <c r="G38" s="463" t="e">
        <f>#REF!</f>
        <v>#REF!</v>
      </c>
      <c r="H38" s="463" t="e">
        <f>D23</f>
        <v>#REF!</v>
      </c>
      <c r="I38" s="463" t="e">
        <f>#REF!</f>
        <v>#REF!</v>
      </c>
    </row>
    <row r="39" spans="3:17" ht="13.5" thickBot="1">
      <c r="C39" s="458" t="s">
        <v>133</v>
      </c>
      <c r="D39" s="448" t="s">
        <v>660</v>
      </c>
      <c r="E39" s="448" t="s">
        <v>660</v>
      </c>
      <c r="F39" s="463" t="e">
        <f>#REF!</f>
        <v>#REF!</v>
      </c>
      <c r="G39" s="463" t="e">
        <f>#REF!</f>
        <v>#REF!</v>
      </c>
      <c r="H39" s="463" t="e">
        <f>D24</f>
        <v>#REF!</v>
      </c>
      <c r="I39" s="463" t="e">
        <f>#REF!</f>
        <v>#REF!</v>
      </c>
    </row>
    <row r="40" spans="3:17" ht="13.5" thickBot="1">
      <c r="C40" s="464" t="s">
        <v>661</v>
      </c>
      <c r="D40" s="466" t="s">
        <v>660</v>
      </c>
      <c r="E40" s="467" t="s">
        <v>660</v>
      </c>
      <c r="F40" s="493" t="e">
        <f>#REF!</f>
        <v>#REF!</v>
      </c>
      <c r="G40" s="468" t="e">
        <f>#REF!</f>
        <v>#REF!</v>
      </c>
      <c r="H40" s="468" t="e">
        <f>#REF!</f>
        <v>#REF!</v>
      </c>
      <c r="I40" s="468" t="e">
        <f>#REF!</f>
        <v>#REF!</v>
      </c>
    </row>
    <row r="41" spans="3:17" ht="13.5" thickBot="1">
      <c r="C41" s="465" t="s">
        <v>125</v>
      </c>
      <c r="D41" s="484" t="e">
        <f>#N/A</f>
        <v>#N/A</v>
      </c>
      <c r="E41" s="484" t="e">
        <f>#N/A</f>
        <v>#N/A</v>
      </c>
      <c r="F41" s="484" t="e">
        <f>#N/A</f>
        <v>#N/A</v>
      </c>
      <c r="G41" s="484" t="e">
        <f>#N/A</f>
        <v>#N/A</v>
      </c>
      <c r="H41" s="484" t="e">
        <f>#N/A</f>
        <v>#N/A</v>
      </c>
      <c r="I41" s="484" t="e">
        <f>#N/A</f>
        <v>#N/A</v>
      </c>
    </row>
    <row r="45" spans="3:17" ht="25.5">
      <c r="C45" s="70"/>
      <c r="D45" s="477" t="s">
        <v>144</v>
      </c>
      <c r="E45" s="477" t="s">
        <v>672</v>
      </c>
      <c r="F45" s="477" t="s">
        <v>448</v>
      </c>
      <c r="G45" s="477" t="s">
        <v>672</v>
      </c>
      <c r="H45" s="477" t="s">
        <v>668</v>
      </c>
      <c r="I45" s="477" t="s">
        <v>672</v>
      </c>
      <c r="J45" s="477" t="s">
        <v>669</v>
      </c>
      <c r="K45" s="10" t="s">
        <v>672</v>
      </c>
      <c r="L45" s="10" t="s">
        <v>673</v>
      </c>
      <c r="M45" s="10" t="s">
        <v>674</v>
      </c>
      <c r="N45" s="38" t="s">
        <v>450</v>
      </c>
      <c r="O45" s="38" t="s">
        <v>675</v>
      </c>
      <c r="P45" s="479" t="s">
        <v>451</v>
      </c>
      <c r="Q45" s="478" t="s">
        <v>676</v>
      </c>
    </row>
    <row r="46" spans="3:17">
      <c r="C46" s="19" t="s">
        <v>96</v>
      </c>
      <c r="D46" s="74" t="e">
        <f>#REF!</f>
        <v>#REF!</v>
      </c>
      <c r="E46" s="472" t="e">
        <f>D4</f>
        <v>#REF!</v>
      </c>
      <c r="F46" s="60" t="e">
        <f>#REF!</f>
        <v>#REF!</v>
      </c>
      <c r="G46" s="101" t="e">
        <f>#REF!-#REF!</f>
        <v>#REF!</v>
      </c>
      <c r="H46" s="74" t="e">
        <f>#REF!</f>
        <v>#REF!</v>
      </c>
      <c r="I46" s="74" t="e">
        <f>#REF!</f>
        <v>#REF!</v>
      </c>
      <c r="J46" s="74" t="e">
        <f>#REF!</f>
        <v>#REF!</v>
      </c>
      <c r="K46" s="74" t="e">
        <f>#REF!</f>
        <v>#REF!</v>
      </c>
      <c r="L46" s="74" t="e">
        <f>D46+F46+H46+J46</f>
        <v>#REF!</v>
      </c>
      <c r="M46" s="74" t="e">
        <f>E46+G46+I46+K46</f>
        <v>#REF!</v>
      </c>
      <c r="N46" s="74" t="e">
        <f>#REF!</f>
        <v>#REF!</v>
      </c>
      <c r="O46" s="74" t="e">
        <f>#REF!</f>
        <v>#REF!</v>
      </c>
      <c r="P46" s="102" t="e">
        <f>#REF!-#REF!</f>
        <v>#REF!</v>
      </c>
      <c r="Q46" s="102" t="e">
        <f>#REF!-#REF!</f>
        <v>#REF!</v>
      </c>
    </row>
    <row r="47" spans="3:17">
      <c r="C47" s="19" t="s">
        <v>100</v>
      </c>
      <c r="D47" s="74" t="e">
        <f>#REF!</f>
        <v>#REF!</v>
      </c>
      <c r="E47" s="472" t="e">
        <f>D5</f>
        <v>#REF!</v>
      </c>
      <c r="F47" s="60" t="e">
        <f>#REF!</f>
        <v>#REF!</v>
      </c>
      <c r="G47" s="101" t="e">
        <f>#REF!-#REF!</f>
        <v>#REF!</v>
      </c>
      <c r="H47" s="74" t="e">
        <f>#REF!</f>
        <v>#REF!</v>
      </c>
      <c r="I47" s="74" t="e">
        <f>#REF!</f>
        <v>#REF!</v>
      </c>
      <c r="J47" s="74" t="e">
        <f>#REF!</f>
        <v>#REF!</v>
      </c>
      <c r="K47" s="74" t="e">
        <f>#REF!</f>
        <v>#REF!</v>
      </c>
      <c r="L47" s="74" t="e">
        <f>#N/A</f>
        <v>#N/A</v>
      </c>
      <c r="M47" s="74" t="e">
        <f>#N/A</f>
        <v>#N/A</v>
      </c>
      <c r="N47" s="74" t="e">
        <f>#REF!</f>
        <v>#REF!</v>
      </c>
      <c r="O47" s="71" t="e">
        <f>#REF!</f>
        <v>#REF!</v>
      </c>
      <c r="P47" s="102" t="e">
        <f>#REF!-#REF!</f>
        <v>#REF!</v>
      </c>
      <c r="Q47" s="102" t="e">
        <f>#REF!-#REF!</f>
        <v>#REF!</v>
      </c>
    </row>
    <row r="48" spans="3:17">
      <c r="C48" s="19" t="s">
        <v>102</v>
      </c>
      <c r="D48" s="74" t="e">
        <f>#REF!</f>
        <v>#REF!</v>
      </c>
      <c r="E48" s="472" t="e">
        <f>D6</f>
        <v>#REF!</v>
      </c>
      <c r="F48" s="60" t="e">
        <f>#REF!</f>
        <v>#REF!</v>
      </c>
      <c r="G48" s="101" t="e">
        <f>#REF!-#REF!</f>
        <v>#REF!</v>
      </c>
      <c r="H48" s="74" t="e">
        <f>#REF!</f>
        <v>#REF!</v>
      </c>
      <c r="I48" s="74" t="e">
        <f>#REF!</f>
        <v>#REF!</v>
      </c>
      <c r="J48" s="74" t="e">
        <f>#REF!</f>
        <v>#REF!</v>
      </c>
      <c r="K48" s="74" t="e">
        <f>#REF!</f>
        <v>#REF!</v>
      </c>
      <c r="L48" s="74" t="e">
        <f>#N/A</f>
        <v>#N/A</v>
      </c>
      <c r="M48" s="74" t="e">
        <f>#N/A</f>
        <v>#N/A</v>
      </c>
      <c r="N48" s="74" t="e">
        <f>#REF!</f>
        <v>#REF!</v>
      </c>
      <c r="O48" s="71" t="e">
        <f>#REF!</f>
        <v>#REF!</v>
      </c>
      <c r="P48" s="102" t="e">
        <f>#REF!-#REF!</f>
        <v>#REF!</v>
      </c>
      <c r="Q48" s="102" t="e">
        <f>#REF!-#REF!</f>
        <v>#REF!</v>
      </c>
    </row>
    <row r="49" spans="3:17">
      <c r="C49" s="19" t="s">
        <v>104</v>
      </c>
      <c r="D49" s="74" t="e">
        <f>#REF!</f>
        <v>#REF!</v>
      </c>
      <c r="E49" s="472" t="e">
        <f>D7</f>
        <v>#REF!</v>
      </c>
      <c r="F49" s="60" t="e">
        <f>#REF!</f>
        <v>#REF!</v>
      </c>
      <c r="G49" s="474" t="e">
        <f>#REF!</f>
        <v>#REF!</v>
      </c>
      <c r="H49" s="74" t="e">
        <f>#REF!</f>
        <v>#REF!</v>
      </c>
      <c r="I49" s="74" t="e">
        <f>#REF!</f>
        <v>#REF!</v>
      </c>
      <c r="J49" s="74" t="e">
        <f>#REF!</f>
        <v>#REF!</v>
      </c>
      <c r="K49" s="74" t="e">
        <f>#REF!</f>
        <v>#REF!</v>
      </c>
      <c r="L49" s="74" t="e">
        <f>#N/A</f>
        <v>#N/A</v>
      </c>
      <c r="M49" s="74" t="e">
        <f>#N/A</f>
        <v>#N/A</v>
      </c>
      <c r="N49" s="74" t="e">
        <f>#REF!</f>
        <v>#REF!</v>
      </c>
      <c r="O49" s="74" t="e">
        <f>#REF!</f>
        <v>#REF!</v>
      </c>
      <c r="P49" s="480" t="e">
        <f>#REF!</f>
        <v>#REF!</v>
      </c>
      <c r="Q49" s="480" t="e">
        <f>#REF!</f>
        <v>#REF!</v>
      </c>
    </row>
    <row r="50" spans="3:17">
      <c r="C50" s="19" t="s">
        <v>106</v>
      </c>
      <c r="D50" s="74" t="e">
        <f>#REF!</f>
        <v>#REF!</v>
      </c>
      <c r="E50" s="472" t="e">
        <f>D8</f>
        <v>#REF!</v>
      </c>
      <c r="F50" s="60" t="e">
        <f>#REF!</f>
        <v>#REF!</v>
      </c>
      <c r="G50" s="101" t="e">
        <f>#REF!-#REF!</f>
        <v>#REF!</v>
      </c>
      <c r="H50" s="74" t="e">
        <f>#REF!</f>
        <v>#REF!</v>
      </c>
      <c r="I50" s="74" t="e">
        <f>#REF!</f>
        <v>#REF!</v>
      </c>
      <c r="J50" s="74" t="e">
        <f>#REF!</f>
        <v>#REF!</v>
      </c>
      <c r="K50" s="74" t="e">
        <f>#REF!</f>
        <v>#REF!</v>
      </c>
      <c r="L50" s="74" t="e">
        <f>#N/A</f>
        <v>#N/A</v>
      </c>
      <c r="M50" s="74" t="e">
        <f>#N/A</f>
        <v>#N/A</v>
      </c>
      <c r="N50" s="74" t="e">
        <f>#REF!</f>
        <v>#REF!</v>
      </c>
      <c r="O50" s="71" t="e">
        <f>#REF!</f>
        <v>#REF!</v>
      </c>
      <c r="P50" s="102" t="e">
        <f>#REF!-#REF!</f>
        <v>#REF!</v>
      </c>
      <c r="Q50" s="102" t="e">
        <f>#REF!-#REF!</f>
        <v>#REF!</v>
      </c>
    </row>
    <row r="51" spans="3:17">
      <c r="C51" s="19" t="s">
        <v>130</v>
      </c>
      <c r="D51" s="74" t="e">
        <f>#REF!</f>
        <v>#REF!</v>
      </c>
      <c r="E51" s="475">
        <v>0</v>
      </c>
      <c r="F51" s="60" t="e">
        <f>#REF!</f>
        <v>#REF!</v>
      </c>
      <c r="G51" s="101" t="e">
        <f>#REF!</f>
        <v>#REF!</v>
      </c>
      <c r="H51" s="74" t="e">
        <f>#REF!</f>
        <v>#REF!</v>
      </c>
      <c r="I51" s="74" t="e">
        <f>#REF!</f>
        <v>#REF!</v>
      </c>
      <c r="J51" s="74" t="e">
        <f>#REF!</f>
        <v>#REF!</v>
      </c>
      <c r="K51" s="74" t="e">
        <f>#REF!</f>
        <v>#REF!</v>
      </c>
      <c r="L51" s="74" t="e">
        <f>#N/A</f>
        <v>#N/A</v>
      </c>
      <c r="M51" s="74" t="e">
        <f>#N/A</f>
        <v>#N/A</v>
      </c>
      <c r="N51" s="74"/>
      <c r="O51" s="71"/>
      <c r="P51" s="102" t="e">
        <f>#REF!</f>
        <v>#REF!</v>
      </c>
      <c r="Q51" s="102" t="e">
        <f>#REF!</f>
        <v>#REF!</v>
      </c>
    </row>
    <row r="52" spans="3:17">
      <c r="C52" s="19" t="s">
        <v>131</v>
      </c>
      <c r="D52" s="74" t="e">
        <f>#REF!</f>
        <v>#REF!</v>
      </c>
      <c r="E52" s="472" t="e">
        <f>D9</f>
        <v>#REF!</v>
      </c>
      <c r="F52" s="60" t="e">
        <f>#REF!</f>
        <v>#REF!</v>
      </c>
      <c r="G52" s="101" t="e">
        <f>#REF!-#REF!</f>
        <v>#REF!</v>
      </c>
      <c r="H52" s="74" t="e">
        <f>#REF!</f>
        <v>#REF!</v>
      </c>
      <c r="I52" s="74" t="e">
        <f>#REF!</f>
        <v>#REF!</v>
      </c>
      <c r="J52" s="74" t="e">
        <f>#REF!</f>
        <v>#REF!</v>
      </c>
      <c r="K52" s="74" t="e">
        <f>#REF!</f>
        <v>#REF!</v>
      </c>
      <c r="L52" s="74" t="e">
        <f>#N/A</f>
        <v>#N/A</v>
      </c>
      <c r="M52" s="74" t="e">
        <f>#N/A</f>
        <v>#N/A</v>
      </c>
      <c r="N52" s="74" t="e">
        <f>#REF!</f>
        <v>#REF!</v>
      </c>
      <c r="O52" s="74" t="e">
        <f>#REF!</f>
        <v>#REF!</v>
      </c>
      <c r="P52" s="102" t="e">
        <f>#REF!-#REF!</f>
        <v>#REF!</v>
      </c>
      <c r="Q52" s="102" t="e">
        <f>#REF!-#REF!</f>
        <v>#REF!</v>
      </c>
    </row>
    <row r="53" spans="3:17">
      <c r="C53" s="19" t="s">
        <v>110</v>
      </c>
      <c r="D53" s="74" t="e">
        <f>#REF!</f>
        <v>#REF!</v>
      </c>
      <c r="E53" s="475">
        <v>0</v>
      </c>
      <c r="F53" s="60" t="e">
        <f>#REF!</f>
        <v>#REF!</v>
      </c>
      <c r="G53" s="101" t="e">
        <f>#REF!</f>
        <v>#REF!</v>
      </c>
      <c r="H53" s="74" t="e">
        <f>#REF!</f>
        <v>#REF!</v>
      </c>
      <c r="I53" s="74" t="e">
        <f>#REF!</f>
        <v>#REF!</v>
      </c>
      <c r="J53" s="74" t="e">
        <f>#REF!</f>
        <v>#REF!</v>
      </c>
      <c r="K53" s="74" t="e">
        <f>#REF!</f>
        <v>#REF!</v>
      </c>
      <c r="L53" s="74" t="e">
        <f>#N/A</f>
        <v>#N/A</v>
      </c>
      <c r="M53" s="74" t="e">
        <f>#N/A</f>
        <v>#N/A</v>
      </c>
      <c r="N53" s="71"/>
      <c r="O53" s="71"/>
      <c r="P53" s="102" t="e">
        <f>#REF!</f>
        <v>#REF!</v>
      </c>
      <c r="Q53" s="102" t="e">
        <f>#REF!</f>
        <v>#REF!</v>
      </c>
    </row>
    <row r="54" spans="3:17">
      <c r="C54" s="19" t="s">
        <v>635</v>
      </c>
      <c r="D54" s="74" t="e">
        <f>#REF!</f>
        <v>#REF!</v>
      </c>
      <c r="E54" s="475">
        <v>0</v>
      </c>
      <c r="F54" s="482" t="e">
        <f>#REF!</f>
        <v>#REF!</v>
      </c>
      <c r="G54" s="101" t="e">
        <f>#REF!</f>
        <v>#REF!</v>
      </c>
      <c r="H54" s="74" t="e">
        <f>#REF!</f>
        <v>#REF!</v>
      </c>
      <c r="I54" s="475">
        <v>0</v>
      </c>
      <c r="J54" s="74" t="e">
        <f>#REF!</f>
        <v>#REF!</v>
      </c>
      <c r="K54" s="475">
        <v>0</v>
      </c>
      <c r="L54" s="74" t="e">
        <f>#N/A</f>
        <v>#N/A</v>
      </c>
      <c r="M54" s="74" t="e">
        <f>#N/A</f>
        <v>#N/A</v>
      </c>
      <c r="N54" s="71"/>
      <c r="O54" s="71"/>
      <c r="P54" s="481"/>
      <c r="Q54" s="481"/>
    </row>
    <row r="55" spans="3:17">
      <c r="C55" s="100" t="s">
        <v>489</v>
      </c>
      <c r="D55" s="74" t="e">
        <f>#REF!</f>
        <v>#REF!</v>
      </c>
      <c r="E55" s="475">
        <v>0</v>
      </c>
      <c r="F55" s="60" t="e">
        <f>#REF!</f>
        <v>#REF!</v>
      </c>
      <c r="G55" s="101" t="e">
        <f>#REF!</f>
        <v>#REF!</v>
      </c>
      <c r="H55" s="74" t="e">
        <f>#REF!</f>
        <v>#REF!</v>
      </c>
      <c r="I55" s="74" t="e">
        <f>#REF!</f>
        <v>#REF!</v>
      </c>
      <c r="J55" s="74" t="e">
        <f>#REF!</f>
        <v>#REF!</v>
      </c>
      <c r="K55" s="74" t="e">
        <f>#REF!</f>
        <v>#REF!</v>
      </c>
      <c r="L55" s="74" t="e">
        <f>#N/A</f>
        <v>#N/A</v>
      </c>
      <c r="M55" s="74" t="e">
        <f>#N/A</f>
        <v>#N/A</v>
      </c>
      <c r="N55" s="71"/>
      <c r="O55" s="71"/>
      <c r="P55" s="102" t="e">
        <f>#REF!</f>
        <v>#REF!</v>
      </c>
      <c r="Q55" s="102" t="e">
        <f>#REF!</f>
        <v>#REF!</v>
      </c>
    </row>
    <row r="56" spans="3:17">
      <c r="C56" s="100" t="s">
        <v>618</v>
      </c>
      <c r="D56" s="74" t="e">
        <f>#REF!</f>
        <v>#REF!</v>
      </c>
      <c r="E56" s="475">
        <v>0</v>
      </c>
      <c r="F56" s="60" t="e">
        <f>#REF!</f>
        <v>#REF!</v>
      </c>
      <c r="G56" s="101" t="e">
        <f>#REF!</f>
        <v>#REF!</v>
      </c>
      <c r="H56" s="74" t="e">
        <f>#REF!</f>
        <v>#REF!</v>
      </c>
      <c r="I56" s="74" t="e">
        <f>#REF!</f>
        <v>#REF!</v>
      </c>
      <c r="J56" s="74" t="e">
        <f>#REF!</f>
        <v>#REF!</v>
      </c>
      <c r="K56" s="74" t="e">
        <f>#REF!</f>
        <v>#REF!</v>
      </c>
      <c r="L56" s="74" t="e">
        <f>#N/A</f>
        <v>#N/A</v>
      </c>
      <c r="M56" s="74" t="e">
        <f>#N/A</f>
        <v>#N/A</v>
      </c>
      <c r="N56" s="71"/>
      <c r="O56" s="71"/>
      <c r="P56" s="102" t="e">
        <f>#REF!</f>
        <v>#REF!</v>
      </c>
      <c r="Q56" s="102" t="e">
        <f>#REF!</f>
        <v>#REF!</v>
      </c>
    </row>
    <row r="57" spans="3:17">
      <c r="C57" s="100" t="s">
        <v>490</v>
      </c>
      <c r="D57" s="74" t="e">
        <f>#REF!</f>
        <v>#REF!</v>
      </c>
      <c r="E57" s="475">
        <v>0</v>
      </c>
      <c r="F57" s="60" t="e">
        <f>#REF!</f>
        <v>#REF!</v>
      </c>
      <c r="G57" s="101" t="e">
        <f>#REF!</f>
        <v>#REF!</v>
      </c>
      <c r="H57" s="74" t="e">
        <f>#REF!</f>
        <v>#REF!</v>
      </c>
      <c r="I57" s="74" t="e">
        <f>#REF!</f>
        <v>#REF!</v>
      </c>
      <c r="J57" s="74" t="e">
        <f>#REF!</f>
        <v>#REF!</v>
      </c>
      <c r="K57" s="74" t="e">
        <f>#REF!</f>
        <v>#REF!</v>
      </c>
      <c r="L57" s="74" t="e">
        <f>#N/A</f>
        <v>#N/A</v>
      </c>
      <c r="M57" s="74" t="e">
        <f>#N/A</f>
        <v>#N/A</v>
      </c>
      <c r="N57" s="71"/>
      <c r="O57" s="71"/>
      <c r="P57" t="e">
        <f>#REF!</f>
        <v>#REF!</v>
      </c>
      <c r="Q57" t="e">
        <f>#REF!</f>
        <v>#REF!</v>
      </c>
    </row>
    <row r="58" spans="3:17">
      <c r="C58" s="19" t="s">
        <v>671</v>
      </c>
      <c r="D58" s="74" t="e">
        <f>#REF!</f>
        <v>#REF!</v>
      </c>
      <c r="E58" s="475">
        <v>0</v>
      </c>
      <c r="F58" s="60" t="e">
        <f>#REF!</f>
        <v>#REF!</v>
      </c>
      <c r="G58" s="101" t="e">
        <f>#REF!</f>
        <v>#REF!</v>
      </c>
      <c r="H58" s="476" t="e">
        <f>#REF!</f>
        <v>#REF!</v>
      </c>
      <c r="I58" s="475">
        <v>0</v>
      </c>
      <c r="J58" s="476" t="e">
        <f>#REF!</f>
        <v>#REF!</v>
      </c>
      <c r="K58" s="475">
        <v>0</v>
      </c>
      <c r="L58" s="74" t="e">
        <f>#N/A</f>
        <v>#N/A</v>
      </c>
      <c r="M58" s="74" t="e">
        <f>#N/A</f>
        <v>#N/A</v>
      </c>
      <c r="N58" s="71"/>
      <c r="O58" s="71"/>
      <c r="P58" s="481"/>
      <c r="Q58" s="481"/>
    </row>
    <row r="59" spans="3:17">
      <c r="C59" s="473" t="s">
        <v>656</v>
      </c>
      <c r="D59" s="74" t="e">
        <f>#REF!</f>
        <v>#REF!</v>
      </c>
      <c r="E59" s="475">
        <v>0</v>
      </c>
      <c r="F59" s="60" t="e">
        <f>#REF!</f>
        <v>#REF!</v>
      </c>
      <c r="G59" s="101" t="e">
        <f>#REF!</f>
        <v>#REF!</v>
      </c>
      <c r="H59" s="476" t="e">
        <f>#REF!</f>
        <v>#REF!</v>
      </c>
      <c r="I59" s="475">
        <v>0</v>
      </c>
      <c r="J59" s="476" t="e">
        <f>#REF!</f>
        <v>#REF!</v>
      </c>
      <c r="K59" s="475">
        <v>0</v>
      </c>
      <c r="L59" s="74" t="e">
        <f>#N/A</f>
        <v>#N/A</v>
      </c>
      <c r="M59" s="74" t="e">
        <f>#N/A</f>
        <v>#N/A</v>
      </c>
      <c r="N59" s="71"/>
      <c r="O59" s="71"/>
      <c r="P59" s="481"/>
      <c r="Q59" s="481"/>
    </row>
    <row r="60" spans="3:17">
      <c r="C60" s="19" t="s">
        <v>117</v>
      </c>
      <c r="D60" s="74" t="e">
        <f>#REF!</f>
        <v>#REF!</v>
      </c>
      <c r="E60" s="475">
        <v>0</v>
      </c>
      <c r="F60" s="60" t="e">
        <f>#REF!</f>
        <v>#REF!</v>
      </c>
      <c r="G60" s="101" t="e">
        <f>#REF!</f>
        <v>#REF!</v>
      </c>
      <c r="H60" s="74" t="e">
        <f>#REF!</f>
        <v>#REF!</v>
      </c>
      <c r="I60" s="74" t="e">
        <f>#REF!</f>
        <v>#REF!</v>
      </c>
      <c r="J60" s="74" t="e">
        <f>#REF!</f>
        <v>#REF!</v>
      </c>
      <c r="K60" s="74" t="e">
        <f>#REF!</f>
        <v>#REF!</v>
      </c>
      <c r="L60" s="74" t="e">
        <f>#N/A</f>
        <v>#N/A</v>
      </c>
      <c r="M60" s="74" t="e">
        <f>#N/A</f>
        <v>#N/A</v>
      </c>
      <c r="N60" s="71"/>
      <c r="O60" s="71"/>
      <c r="P60" s="102" t="e">
        <f>#REF!</f>
        <v>#REF!</v>
      </c>
      <c r="Q60" s="102" t="e">
        <f>#REF!</f>
        <v>#REF!</v>
      </c>
    </row>
    <row r="61" spans="3:17">
      <c r="C61" s="16" t="s">
        <v>125</v>
      </c>
      <c r="D61" s="75" t="e">
        <f>#N/A</f>
        <v>#N/A</v>
      </c>
      <c r="E61" s="75" t="e">
        <f>#N/A</f>
        <v>#N/A</v>
      </c>
      <c r="F61" s="75" t="e">
        <f>#N/A</f>
        <v>#N/A</v>
      </c>
      <c r="G61" s="75" t="e">
        <f>#N/A</f>
        <v>#N/A</v>
      </c>
      <c r="H61" s="75" t="e">
        <f>#N/A</f>
        <v>#N/A</v>
      </c>
      <c r="I61" s="75" t="e">
        <f>#N/A</f>
        <v>#N/A</v>
      </c>
      <c r="J61" s="75" t="e">
        <f>#N/A</f>
        <v>#N/A</v>
      </c>
      <c r="K61" s="75" t="e">
        <f>#N/A</f>
        <v>#N/A</v>
      </c>
      <c r="L61" s="75" t="e">
        <f>#N/A</f>
        <v>#N/A</v>
      </c>
      <c r="M61" s="75" t="e">
        <f>#N/A</f>
        <v>#N/A</v>
      </c>
      <c r="N61" s="75" t="e">
        <f>SUM(N46:N60)</f>
        <v>#REF!</v>
      </c>
      <c r="O61" s="75" t="e">
        <f>SUM(O46:O60)</f>
        <v>#REF!</v>
      </c>
      <c r="P61" s="75" t="e">
        <f>SUM(P46:P60)</f>
        <v>#REF!</v>
      </c>
      <c r="Q61" s="75" t="e">
        <f>SUM(Q46:Q60)</f>
        <v>#REF!</v>
      </c>
    </row>
    <row r="62" spans="3:17">
      <c r="C62" s="16" t="s">
        <v>670</v>
      </c>
      <c r="D62" s="75" t="e">
        <f>#N/A</f>
        <v>#N/A</v>
      </c>
      <c r="E62" s="75" t="e">
        <f>#N/A</f>
        <v>#N/A</v>
      </c>
      <c r="F62" s="75" t="e">
        <f>#N/A</f>
        <v>#N/A</v>
      </c>
      <c r="G62" s="75" t="e">
        <f>#N/A</f>
        <v>#N/A</v>
      </c>
      <c r="H62" s="75" t="e">
        <f>#N/A</f>
        <v>#N/A</v>
      </c>
      <c r="I62" s="75" t="e">
        <f>#N/A</f>
        <v>#N/A</v>
      </c>
      <c r="J62" s="75" t="e">
        <f>#N/A</f>
        <v>#N/A</v>
      </c>
      <c r="K62" s="75" t="e">
        <f>#N/A</f>
        <v>#N/A</v>
      </c>
      <c r="L62" s="75" t="e">
        <f>#N/A</f>
        <v>#N/A</v>
      </c>
      <c r="M62" s="75" t="e">
        <f>#N/A</f>
        <v>#N/A</v>
      </c>
      <c r="N62" s="75" t="e">
        <f>N61-N59</f>
        <v>#REF!</v>
      </c>
      <c r="O62" s="75" t="e">
        <f>O61-O59</f>
        <v>#REF!</v>
      </c>
      <c r="P62" s="75" t="e">
        <f>P61-P59</f>
        <v>#REF!</v>
      </c>
      <c r="Q62" s="75" t="e">
        <f>Q61-Q59</f>
        <v>#REF!</v>
      </c>
    </row>
  </sheetData>
  <pageMargins left="0.7" right="0.7" top="0.75" bottom="0.75" header="0.3" footer="0.3"/>
  <pageSetup scale="53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FF00"/>
  </sheetPr>
  <dimension ref="B3:U28"/>
  <sheetViews>
    <sheetView tabSelected="1" workbookViewId="0">
      <selection activeCell="P10" sqref="P10"/>
    </sheetView>
  </sheetViews>
  <sheetFormatPr defaultColWidth="8.85546875" defaultRowHeight="12.75"/>
  <cols>
    <col min="2" max="2" width="13.42578125" customWidth="1"/>
    <col min="3" max="3" width="11.85546875" customWidth="1"/>
    <col min="4" max="4" width="38.42578125" customWidth="1"/>
    <col min="5" max="5" width="11.140625" customWidth="1"/>
    <col min="6" max="6" width="9.42578125" bestFit="1" customWidth="1"/>
    <col min="7" max="10" width="8.85546875" bestFit="1" customWidth="1"/>
    <col min="18" max="18" width="12.42578125" customWidth="1"/>
    <col min="19" max="19" width="8.5703125" bestFit="1" customWidth="1"/>
    <col min="20" max="20" width="17.5703125" customWidth="1"/>
    <col min="21" max="21" width="11" customWidth="1"/>
  </cols>
  <sheetData>
    <row r="3" spans="2:18" ht="15">
      <c r="B3" s="731" t="s">
        <v>722</v>
      </c>
      <c r="C3" s="731"/>
      <c r="D3" s="731"/>
      <c r="E3" s="731"/>
      <c r="F3" s="731"/>
      <c r="G3" s="731"/>
      <c r="H3" s="731"/>
      <c r="I3" s="731"/>
      <c r="J3" s="524"/>
      <c r="K3" s="524"/>
      <c r="L3" s="524"/>
      <c r="M3" s="524"/>
      <c r="N3" s="524"/>
      <c r="O3" s="524"/>
      <c r="P3" s="524"/>
      <c r="Q3" s="524"/>
      <c r="R3" s="524"/>
    </row>
    <row r="4" spans="2:18" ht="15">
      <c r="B4" s="541"/>
      <c r="C4" s="541"/>
      <c r="D4" s="541"/>
      <c r="E4" s="541"/>
      <c r="F4" s="541"/>
      <c r="G4" s="541"/>
      <c r="H4" s="541"/>
      <c r="I4" s="541"/>
      <c r="J4" s="524"/>
      <c r="K4" s="524"/>
      <c r="L4" s="524"/>
      <c r="M4" s="524"/>
      <c r="N4" s="524"/>
      <c r="O4" s="524"/>
      <c r="P4" s="524"/>
      <c r="Q4" s="524"/>
      <c r="R4" s="524"/>
    </row>
    <row r="5" spans="2:18" ht="57">
      <c r="B5" s="541"/>
      <c r="C5" s="542"/>
      <c r="D5" s="525" t="s">
        <v>723</v>
      </c>
      <c r="E5" s="526" t="s">
        <v>724</v>
      </c>
      <c r="F5" s="526" t="s">
        <v>725</v>
      </c>
      <c r="G5" s="526" t="s">
        <v>768</v>
      </c>
      <c r="H5" s="526" t="s">
        <v>769</v>
      </c>
      <c r="I5" s="526" t="s">
        <v>770</v>
      </c>
      <c r="J5" s="526" t="s">
        <v>726</v>
      </c>
      <c r="K5" s="524"/>
      <c r="L5" s="524"/>
      <c r="M5" s="524"/>
      <c r="N5" s="524"/>
      <c r="O5" s="524"/>
      <c r="P5" s="524"/>
      <c r="Q5" s="524"/>
      <c r="R5" s="524"/>
    </row>
    <row r="6" spans="2:18" ht="15">
      <c r="B6" s="541"/>
      <c r="C6" s="647" t="s">
        <v>32</v>
      </c>
      <c r="D6" s="648" t="s">
        <v>736</v>
      </c>
      <c r="E6" s="649">
        <f>E7+E8</f>
        <v>42</v>
      </c>
      <c r="F6" s="650">
        <f t="shared" ref="F6:J6" si="0">F7+F8</f>
        <v>444.04515354789999</v>
      </c>
      <c r="G6" s="650">
        <f t="shared" si="0"/>
        <v>70.381644826999988</v>
      </c>
      <c r="H6" s="650">
        <f t="shared" si="0"/>
        <v>159.30000000000001</v>
      </c>
      <c r="I6" s="650">
        <f t="shared" si="0"/>
        <v>18.775237799999999</v>
      </c>
      <c r="J6" s="650">
        <f t="shared" si="0"/>
        <v>89.156882626999987</v>
      </c>
      <c r="K6" s="524"/>
      <c r="L6" s="524"/>
      <c r="M6" s="524"/>
      <c r="N6" s="524"/>
      <c r="O6" s="524"/>
      <c r="P6" s="524"/>
      <c r="Q6" s="524"/>
      <c r="R6" s="524"/>
    </row>
    <row r="7" spans="2:18" ht="15">
      <c r="B7" s="541"/>
      <c r="C7" s="547" t="s">
        <v>737</v>
      </c>
      <c r="D7" s="543" t="s">
        <v>739</v>
      </c>
      <c r="E7" s="677">
        <v>18</v>
      </c>
      <c r="F7" s="652">
        <v>260.24118280600004</v>
      </c>
      <c r="G7" s="652">
        <v>70.381644826999988</v>
      </c>
      <c r="H7" s="652">
        <v>126</v>
      </c>
      <c r="I7" s="652">
        <v>18.765878399999998</v>
      </c>
      <c r="J7" s="678">
        <v>89.147523226999994</v>
      </c>
      <c r="K7" s="524"/>
      <c r="L7" s="524"/>
      <c r="M7" s="524"/>
      <c r="N7" s="524"/>
      <c r="O7" s="524"/>
      <c r="P7" s="524"/>
      <c r="Q7" s="524"/>
      <c r="R7" s="524"/>
    </row>
    <row r="8" spans="2:18" ht="15">
      <c r="B8" s="541"/>
      <c r="C8" s="547" t="s">
        <v>738</v>
      </c>
      <c r="D8" s="543" t="s">
        <v>777</v>
      </c>
      <c r="E8" s="677">
        <v>24</v>
      </c>
      <c r="F8" s="652">
        <v>183.80397074189995</v>
      </c>
      <c r="G8" s="652">
        <v>0</v>
      </c>
      <c r="H8" s="652">
        <v>33.299999999999997</v>
      </c>
      <c r="I8" s="652">
        <v>9.3594000000000004E-3</v>
      </c>
      <c r="J8" s="678">
        <v>9.3594000000000004E-3</v>
      </c>
      <c r="K8" s="524"/>
      <c r="L8" s="524"/>
      <c r="M8" s="524"/>
      <c r="N8" s="524"/>
      <c r="O8" s="524"/>
      <c r="P8" s="524"/>
      <c r="Q8" s="524"/>
      <c r="R8" s="524"/>
    </row>
    <row r="9" spans="2:18" ht="42.75">
      <c r="B9" s="541"/>
      <c r="C9" s="647" t="s">
        <v>4</v>
      </c>
      <c r="D9" s="651" t="s">
        <v>776</v>
      </c>
      <c r="E9" s="673">
        <f>E10+E11</f>
        <v>11</v>
      </c>
      <c r="F9" s="674">
        <f t="shared" ref="F9:J9" si="1">F10+F11</f>
        <v>51.383005366000006</v>
      </c>
      <c r="G9" s="673">
        <f t="shared" si="1"/>
        <v>14.440752819999998</v>
      </c>
      <c r="H9" s="674">
        <f t="shared" si="1"/>
        <v>25.718114500000002</v>
      </c>
      <c r="I9" s="674">
        <f t="shared" si="1"/>
        <v>6.5006527909999994</v>
      </c>
      <c r="J9" s="674">
        <f t="shared" si="1"/>
        <v>20.941405610999997</v>
      </c>
      <c r="K9" s="524"/>
      <c r="L9" s="524"/>
      <c r="M9" s="524"/>
      <c r="N9" s="524"/>
      <c r="O9" s="524"/>
      <c r="P9" s="524"/>
      <c r="Q9" s="524"/>
      <c r="R9" s="524"/>
    </row>
    <row r="10" spans="2:18" ht="29.1" customHeight="1">
      <c r="B10" s="668"/>
      <c r="C10" s="547" t="s">
        <v>737</v>
      </c>
      <c r="D10" s="543" t="s">
        <v>775</v>
      </c>
      <c r="E10" s="527">
        <v>9</v>
      </c>
      <c r="F10" s="641">
        <v>49.970598566000007</v>
      </c>
      <c r="G10" s="641">
        <v>14.440752819999998</v>
      </c>
      <c r="H10" s="641">
        <v>24.380000000000003</v>
      </c>
      <c r="I10" s="641">
        <v>5.6625382909999997</v>
      </c>
      <c r="J10" s="678">
        <v>20.103291110999997</v>
      </c>
      <c r="K10" s="524"/>
      <c r="L10" s="524"/>
      <c r="M10" s="524"/>
      <c r="N10" s="524"/>
      <c r="O10" s="524"/>
      <c r="P10" s="524"/>
      <c r="Q10" s="524"/>
      <c r="R10" s="524"/>
    </row>
    <row r="11" spans="2:18" ht="29.1" customHeight="1">
      <c r="B11" s="541"/>
      <c r="C11" s="547" t="s">
        <v>738</v>
      </c>
      <c r="D11" s="543" t="s">
        <v>774</v>
      </c>
      <c r="E11" s="527">
        <v>2</v>
      </c>
      <c r="F11" s="641">
        <v>1.4124067999999999</v>
      </c>
      <c r="G11" s="641">
        <v>0</v>
      </c>
      <c r="H11" s="641">
        <v>1.3381145000000001</v>
      </c>
      <c r="I11" s="641">
        <v>0.83811449999999998</v>
      </c>
      <c r="J11" s="678">
        <v>0.83811449999999998</v>
      </c>
      <c r="K11" s="524"/>
      <c r="Q11" s="524"/>
      <c r="R11" s="524"/>
    </row>
    <row r="12" spans="2:18" ht="15">
      <c r="B12" s="541"/>
      <c r="C12" s="647" t="s">
        <v>2</v>
      </c>
      <c r="D12" s="648" t="s">
        <v>727</v>
      </c>
      <c r="E12" s="650">
        <v>14</v>
      </c>
      <c r="F12" s="650">
        <v>72.976383702999996</v>
      </c>
      <c r="G12" s="650">
        <v>0</v>
      </c>
      <c r="H12" s="650">
        <v>10.4</v>
      </c>
      <c r="I12" s="650">
        <f t="shared" ref="I12:J12" si="2">SUM(I13:I14)</f>
        <v>0</v>
      </c>
      <c r="J12" s="650">
        <f t="shared" si="2"/>
        <v>0</v>
      </c>
      <c r="K12" s="524"/>
      <c r="L12" s="524"/>
      <c r="M12" s="524"/>
      <c r="N12" s="524"/>
      <c r="O12" s="524"/>
      <c r="P12" s="524"/>
      <c r="Q12" s="524"/>
      <c r="R12" s="524"/>
    </row>
    <row r="13" spans="2:18" ht="15">
      <c r="B13" s="541"/>
      <c r="C13" s="542"/>
      <c r="D13" s="529" t="s">
        <v>728</v>
      </c>
      <c r="E13" s="527">
        <v>13</v>
      </c>
      <c r="F13" s="640">
        <v>71.603983702999997</v>
      </c>
      <c r="G13" s="652">
        <v>0</v>
      </c>
      <c r="H13" s="640">
        <v>9.4</v>
      </c>
      <c r="I13" s="640">
        <v>0</v>
      </c>
      <c r="J13" s="640">
        <v>0</v>
      </c>
      <c r="K13" s="524"/>
      <c r="L13" s="524"/>
      <c r="M13" s="524"/>
      <c r="N13" s="524"/>
      <c r="O13" s="524"/>
      <c r="P13" s="524"/>
      <c r="Q13" s="524"/>
      <c r="R13" s="524"/>
    </row>
    <row r="14" spans="2:18" ht="15">
      <c r="B14" s="541"/>
      <c r="C14" s="542"/>
      <c r="D14" s="529" t="s">
        <v>729</v>
      </c>
      <c r="E14" s="528"/>
      <c r="F14" s="641"/>
      <c r="G14" s="641"/>
      <c r="H14" s="530"/>
      <c r="I14" s="530"/>
      <c r="J14" s="640"/>
      <c r="K14" s="524"/>
      <c r="L14" s="524"/>
      <c r="M14" s="524"/>
      <c r="N14" s="524"/>
      <c r="O14" s="524"/>
      <c r="P14" s="524"/>
      <c r="Q14" s="524"/>
      <c r="R14" s="524"/>
    </row>
    <row r="15" spans="2:18" ht="15">
      <c r="B15" s="549"/>
      <c r="C15" s="642"/>
      <c r="D15" s="646" t="s">
        <v>758</v>
      </c>
      <c r="E15" s="643"/>
      <c r="F15" s="644"/>
      <c r="G15" s="644"/>
      <c r="H15" s="645">
        <v>34.590000000000003</v>
      </c>
      <c r="I15" s="645">
        <v>80.574109409000002</v>
      </c>
      <c r="J15" s="645">
        <v>80.574109409000002</v>
      </c>
      <c r="K15" s="524"/>
      <c r="L15" s="524"/>
      <c r="M15" s="524"/>
      <c r="N15" s="524"/>
      <c r="O15" s="524"/>
      <c r="P15" s="524"/>
      <c r="Q15" s="524"/>
      <c r="R15" s="524"/>
    </row>
    <row r="16" spans="2:18" ht="15">
      <c r="B16" s="541"/>
      <c r="C16" s="542"/>
      <c r="D16" s="531" t="s">
        <v>730</v>
      </c>
      <c r="E16" s="532">
        <f>E6+E9+E12+E15</f>
        <v>67</v>
      </c>
      <c r="F16" s="533">
        <f t="shared" ref="F16:I16" si="3">F6+F9+F12+F15</f>
        <v>568.40454261690002</v>
      </c>
      <c r="G16" s="533">
        <f t="shared" si="3"/>
        <v>84.822397646999988</v>
      </c>
      <c r="H16" s="533">
        <f t="shared" si="3"/>
        <v>230.00811450000003</v>
      </c>
      <c r="I16" s="533">
        <f t="shared" si="3"/>
        <v>105.85</v>
      </c>
      <c r="J16" s="533">
        <f t="shared" ref="J16" si="4">G16+I16</f>
        <v>190.67239764699997</v>
      </c>
      <c r="K16" s="524"/>
      <c r="L16" s="524"/>
      <c r="M16" s="524"/>
      <c r="N16" s="524"/>
      <c r="O16" s="524"/>
      <c r="P16" s="524"/>
      <c r="Q16" s="524"/>
      <c r="R16" s="524"/>
    </row>
    <row r="17" spans="2:21" ht="15">
      <c r="B17" s="541"/>
      <c r="C17" s="544"/>
      <c r="D17" s="545"/>
      <c r="E17" s="540"/>
      <c r="F17" s="546"/>
      <c r="G17" s="540"/>
      <c r="H17" s="546"/>
      <c r="I17" s="546"/>
      <c r="J17" s="540"/>
      <c r="K17" s="524"/>
      <c r="L17" s="524"/>
      <c r="M17" s="524"/>
      <c r="N17" s="524"/>
      <c r="O17" s="524"/>
      <c r="P17" s="524"/>
      <c r="Q17" s="524"/>
      <c r="R17" s="524"/>
    </row>
    <row r="18" spans="2:21" ht="14.25">
      <c r="B18" s="524"/>
      <c r="C18" s="524"/>
      <c r="D18" s="524"/>
      <c r="E18" s="524"/>
      <c r="F18" s="524"/>
      <c r="G18" s="524"/>
      <c r="H18" s="524"/>
      <c r="I18" s="686"/>
      <c r="J18" s="686"/>
      <c r="K18" s="683"/>
      <c r="L18" s="683"/>
      <c r="M18" s="683"/>
      <c r="N18" s="683"/>
      <c r="O18" s="683"/>
      <c r="P18" s="683"/>
      <c r="Q18" s="683"/>
      <c r="R18" s="683"/>
    </row>
    <row r="19" spans="2:21" ht="15">
      <c r="B19" s="524"/>
      <c r="C19" s="524"/>
      <c r="D19" s="524"/>
      <c r="E19" s="524"/>
      <c r="F19" s="682"/>
      <c r="G19" s="683"/>
      <c r="H19" s="683"/>
      <c r="I19" s="684"/>
      <c r="J19" s="684"/>
      <c r="K19" s="683"/>
      <c r="L19" s="683"/>
      <c r="M19" s="683"/>
      <c r="N19" s="683"/>
      <c r="O19" s="683"/>
      <c r="P19" s="683"/>
      <c r="Q19" s="683"/>
      <c r="R19" s="683"/>
    </row>
    <row r="20" spans="2:21" ht="15">
      <c r="B20" s="524"/>
      <c r="C20" s="524"/>
      <c r="D20" s="524"/>
      <c r="E20" s="524"/>
      <c r="F20" s="682"/>
      <c r="G20" s="683"/>
      <c r="H20" s="683"/>
      <c r="I20" s="684"/>
      <c r="J20" s="684"/>
      <c r="K20" s="683"/>
      <c r="L20" s="683"/>
      <c r="M20" s="683"/>
      <c r="N20" s="683"/>
      <c r="O20" s="683"/>
      <c r="P20" s="683"/>
      <c r="Q20" s="683"/>
      <c r="R20" s="683"/>
    </row>
    <row r="21" spans="2:21" ht="15">
      <c r="B21" s="524"/>
      <c r="C21" s="524"/>
      <c r="D21" s="524"/>
      <c r="E21" s="524"/>
      <c r="F21" s="682"/>
      <c r="G21" s="683"/>
      <c r="H21" s="683"/>
      <c r="I21" s="684"/>
      <c r="J21" s="684"/>
      <c r="K21" s="683"/>
      <c r="L21" s="683"/>
      <c r="M21" s="683"/>
      <c r="N21" s="683"/>
      <c r="O21" s="683"/>
      <c r="P21" s="683"/>
      <c r="Q21" s="683"/>
      <c r="R21" s="683"/>
    </row>
    <row r="22" spans="2:21" ht="14.25">
      <c r="B22" s="524"/>
      <c r="C22" s="524"/>
      <c r="D22" s="524"/>
      <c r="E22" s="524"/>
      <c r="F22" s="524"/>
      <c r="G22" s="524"/>
      <c r="H22" s="524"/>
      <c r="I22" s="524"/>
      <c r="J22" s="524"/>
      <c r="K22" s="524"/>
      <c r="L22" s="524"/>
      <c r="M22" s="524"/>
      <c r="N22" s="524"/>
      <c r="O22" s="524"/>
      <c r="P22" s="524"/>
      <c r="Q22" s="524"/>
      <c r="R22" s="524"/>
    </row>
    <row r="23" spans="2:21" ht="21.75" customHeight="1">
      <c r="B23" s="732"/>
      <c r="C23" s="733" t="s">
        <v>771</v>
      </c>
      <c r="D23" s="733" t="s">
        <v>772</v>
      </c>
      <c r="E23" s="733" t="s">
        <v>731</v>
      </c>
      <c r="F23" s="741" t="s">
        <v>766</v>
      </c>
      <c r="G23" s="742"/>
      <c r="H23" s="742"/>
      <c r="I23" s="742"/>
      <c r="J23" s="742"/>
      <c r="K23" s="742"/>
      <c r="L23" s="742"/>
      <c r="M23" s="742"/>
      <c r="N23" s="742"/>
      <c r="O23" s="742"/>
      <c r="P23" s="742"/>
      <c r="Q23" s="743"/>
      <c r="R23" s="71"/>
      <c r="S23" s="739" t="s">
        <v>740</v>
      </c>
    </row>
    <row r="24" spans="2:21" ht="60">
      <c r="B24" s="732"/>
      <c r="C24" s="733"/>
      <c r="D24" s="733"/>
      <c r="E24" s="733"/>
      <c r="F24" s="534">
        <v>46113</v>
      </c>
      <c r="G24" s="534">
        <v>46143</v>
      </c>
      <c r="H24" s="534">
        <v>46174</v>
      </c>
      <c r="I24" s="534">
        <v>46204</v>
      </c>
      <c r="J24" s="534">
        <v>46235</v>
      </c>
      <c r="K24" s="534">
        <v>46266</v>
      </c>
      <c r="L24" s="534">
        <v>46296</v>
      </c>
      <c r="M24" s="534">
        <v>46327</v>
      </c>
      <c r="N24" s="534">
        <v>46357</v>
      </c>
      <c r="O24" s="534">
        <v>46388</v>
      </c>
      <c r="P24" s="534">
        <v>46419</v>
      </c>
      <c r="Q24" s="534">
        <v>46447</v>
      </c>
      <c r="R24" s="537" t="s">
        <v>773</v>
      </c>
      <c r="S24" s="740"/>
    </row>
    <row r="25" spans="2:21" ht="30" customHeight="1">
      <c r="B25" s="734"/>
      <c r="C25" s="735">
        <v>27</v>
      </c>
      <c r="D25" s="736">
        <v>26</v>
      </c>
      <c r="E25" s="535" t="s">
        <v>732</v>
      </c>
      <c r="F25" s="536">
        <v>1</v>
      </c>
      <c r="G25" s="536">
        <v>2</v>
      </c>
      <c r="H25" s="536">
        <v>3</v>
      </c>
      <c r="I25" s="536"/>
      <c r="J25" s="536"/>
      <c r="K25" s="536"/>
      <c r="L25" s="536"/>
      <c r="M25" s="536"/>
      <c r="N25" s="536"/>
      <c r="O25" s="536"/>
      <c r="P25" s="538"/>
      <c r="Q25" s="538"/>
      <c r="R25" s="539">
        <f>SUM(F25:Q25)</f>
        <v>6</v>
      </c>
      <c r="S25" s="539">
        <v>28</v>
      </c>
    </row>
    <row r="26" spans="2:21" ht="42" customHeight="1">
      <c r="B26" s="734"/>
      <c r="C26" s="735"/>
      <c r="D26" s="737"/>
      <c r="E26" s="535" t="s">
        <v>733</v>
      </c>
      <c r="F26" s="536">
        <v>2</v>
      </c>
      <c r="G26" s="536">
        <v>1</v>
      </c>
      <c r="H26" s="536">
        <v>2</v>
      </c>
      <c r="I26" s="536"/>
      <c r="J26" s="536"/>
      <c r="K26" s="536"/>
      <c r="L26" s="536"/>
      <c r="M26" s="536"/>
      <c r="N26" s="536"/>
      <c r="O26" s="536"/>
      <c r="P26" s="538"/>
      <c r="Q26" s="538"/>
      <c r="R26" s="539">
        <f t="shared" ref="R26:R27" si="5">SUM(F26:Q26)</f>
        <v>5</v>
      </c>
      <c r="S26" s="539">
        <v>10</v>
      </c>
    </row>
    <row r="27" spans="2:21" ht="42" customHeight="1">
      <c r="B27" s="734"/>
      <c r="C27" s="735"/>
      <c r="D27" s="738"/>
      <c r="E27" s="535" t="s">
        <v>734</v>
      </c>
      <c r="F27" s="536"/>
      <c r="G27" s="536"/>
      <c r="H27" s="536"/>
      <c r="I27" s="536"/>
      <c r="J27" s="536"/>
      <c r="K27" s="536"/>
      <c r="L27" s="536"/>
      <c r="M27" s="536"/>
      <c r="N27" s="536"/>
      <c r="O27" s="536"/>
      <c r="P27" s="538"/>
      <c r="Q27" s="538"/>
      <c r="R27" s="539">
        <f t="shared" si="5"/>
        <v>0</v>
      </c>
      <c r="S27" s="539">
        <v>4</v>
      </c>
    </row>
    <row r="28" spans="2:21" ht="27.95" customHeight="1">
      <c r="B28" s="524"/>
      <c r="C28" s="524"/>
      <c r="D28" s="524"/>
      <c r="E28" s="534" t="s">
        <v>735</v>
      </c>
      <c r="F28" s="550">
        <f>F25+F26+F27</f>
        <v>3</v>
      </c>
      <c r="G28" s="550">
        <f t="shared" ref="G28:Q28" si="6">G25+G26+G27</f>
        <v>3</v>
      </c>
      <c r="H28" s="550">
        <f t="shared" si="6"/>
        <v>5</v>
      </c>
      <c r="I28" s="550">
        <f t="shared" si="6"/>
        <v>0</v>
      </c>
      <c r="J28" s="550">
        <f t="shared" si="6"/>
        <v>0</v>
      </c>
      <c r="K28" s="550">
        <f t="shared" si="6"/>
        <v>0</v>
      </c>
      <c r="L28" s="550">
        <f t="shared" si="6"/>
        <v>0</v>
      </c>
      <c r="M28" s="550">
        <f t="shared" si="6"/>
        <v>0</v>
      </c>
      <c r="N28" s="550">
        <f t="shared" si="6"/>
        <v>0</v>
      </c>
      <c r="O28" s="550">
        <f t="shared" si="6"/>
        <v>0</v>
      </c>
      <c r="P28" s="539">
        <f t="shared" si="6"/>
        <v>0</v>
      </c>
      <c r="Q28" s="539">
        <f t="shared" si="6"/>
        <v>0</v>
      </c>
      <c r="R28" s="539">
        <f>R25+R26+R27</f>
        <v>11</v>
      </c>
      <c r="S28" s="539">
        <f>S25+S26+S27</f>
        <v>42</v>
      </c>
      <c r="T28" s="687">
        <f>S28+R28</f>
        <v>53</v>
      </c>
      <c r="U28" s="95"/>
    </row>
  </sheetData>
  <mergeCells count="10">
    <mergeCell ref="B25:B27"/>
    <mergeCell ref="C25:C27"/>
    <mergeCell ref="D25:D27"/>
    <mergeCell ref="S23:S24"/>
    <mergeCell ref="F23:Q23"/>
    <mergeCell ref="B3:I3"/>
    <mergeCell ref="B23:B24"/>
    <mergeCell ref="C23:C24"/>
    <mergeCell ref="D23:D24"/>
    <mergeCell ref="E23:E2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SUMMARY</vt:lpstr>
      <vt:lpstr>Month-wise plan RE</vt:lpstr>
      <vt:lpstr>Month-wise plan</vt:lpstr>
      <vt:lpstr>MEP</vt:lpstr>
      <vt:lpstr>expansion excell</vt:lpstr>
      <vt:lpstr>Sheet2</vt:lpstr>
      <vt:lpstr>Table 2.4 &amp; 2.9</vt:lpstr>
      <vt:lpstr>&lt;30 Cr format</vt:lpstr>
      <vt:lpstr>'Month-wise plan'!Print_Area</vt:lpstr>
      <vt:lpstr>'Month-wise plan RE'!Print_Area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SAIL135</dc:creator>
  <cp:lastModifiedBy>RSP 09677</cp:lastModifiedBy>
  <cp:lastPrinted>2023-03-14T11:18:35Z</cp:lastPrinted>
  <dcterms:created xsi:type="dcterms:W3CDTF">2017-11-10T04:32:16Z</dcterms:created>
  <dcterms:modified xsi:type="dcterms:W3CDTF">2026-07-06T10:00:08Z</dcterms:modified>
</cp:coreProperties>
</file>